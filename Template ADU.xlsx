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amek\estimator-pro\"/>
    </mc:Choice>
  </mc:AlternateContent>
  <xr:revisionPtr revIDLastSave="0" documentId="13_ncr:1_{2AEE7A97-95DE-4FCA-A595-986FE8589D99}" xr6:coauthVersionLast="47" xr6:coauthVersionMax="47" xr10:uidLastSave="{00000000-0000-0000-0000-000000000000}"/>
  <bookViews>
    <workbookView xWindow="1515" yWindow="960" windowWidth="32970" windowHeight="19920" xr2:uid="{00000000-000D-0000-FFFF-FFFF00000000}"/>
  </bookViews>
  <sheets>
    <sheet name="Template 6.0 (FHR and other PCA" sheetId="1" r:id="rId1"/>
    <sheet name="JJ AdditionConvers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IpKHG6qDDZNCLTtZP4J0A/6BeimB5JQbC7hmu7MLo3I="/>
    </ext>
  </extLst>
</workbook>
</file>

<file path=xl/calcChain.xml><?xml version="1.0" encoding="utf-8"?>
<calcChain xmlns="http://schemas.openxmlformats.org/spreadsheetml/2006/main">
  <c r="E1008" i="2" l="1"/>
  <c r="E1006" i="2"/>
  <c r="E1004" i="2"/>
  <c r="E1002" i="2"/>
  <c r="E1000" i="2"/>
  <c r="E998" i="2"/>
  <c r="E996" i="2"/>
  <c r="F989" i="2" s="1"/>
  <c r="E994" i="2"/>
  <c r="E992" i="2"/>
  <c r="E990" i="2"/>
  <c r="E981" i="2"/>
  <c r="E979" i="2"/>
  <c r="E977" i="2"/>
  <c r="E975" i="2"/>
  <c r="E973" i="2"/>
  <c r="E971" i="2"/>
  <c r="C6" i="2" s="1"/>
  <c r="E969" i="2"/>
  <c r="E967" i="2"/>
  <c r="E965" i="2"/>
  <c r="E963" i="2"/>
  <c r="E961" i="2"/>
  <c r="E959" i="2"/>
  <c r="E957" i="2"/>
  <c r="E955" i="2"/>
  <c r="E953" i="2"/>
  <c r="E951" i="2"/>
  <c r="E949" i="2"/>
  <c r="E947" i="2"/>
  <c r="E945" i="2"/>
  <c r="E943" i="2"/>
  <c r="E941" i="2"/>
  <c r="E939" i="2"/>
  <c r="E937" i="2"/>
  <c r="F936" i="2" s="1"/>
  <c r="E933" i="2"/>
  <c r="E931" i="2"/>
  <c r="E929" i="2"/>
  <c r="E927" i="2"/>
  <c r="E925" i="2"/>
  <c r="E923" i="2"/>
  <c r="E921" i="2"/>
  <c r="F918" i="2" s="1"/>
  <c r="E919" i="2"/>
  <c r="E916" i="2"/>
  <c r="E914" i="2"/>
  <c r="E912" i="2"/>
  <c r="E910" i="2"/>
  <c r="E908" i="2"/>
  <c r="E906" i="2"/>
  <c r="E904" i="2"/>
  <c r="E902" i="2"/>
  <c r="E900" i="2"/>
  <c r="F899" i="2" s="1"/>
  <c r="E895" i="2"/>
  <c r="E893" i="2"/>
  <c r="E891" i="2"/>
  <c r="E889" i="2"/>
  <c r="E887" i="2"/>
  <c r="E885" i="2"/>
  <c r="E883" i="2"/>
  <c r="E881" i="2"/>
  <c r="E879" i="2"/>
  <c r="E877" i="2"/>
  <c r="E875" i="2"/>
  <c r="E873" i="2"/>
  <c r="E871" i="2"/>
  <c r="E869" i="2"/>
  <c r="E867" i="2"/>
  <c r="E865" i="2"/>
  <c r="E863" i="2"/>
  <c r="E861" i="2"/>
  <c r="E859" i="2"/>
  <c r="E857" i="2"/>
  <c r="E855" i="2"/>
  <c r="F852" i="2" s="1"/>
  <c r="E853" i="2"/>
  <c r="E849" i="2"/>
  <c r="E847" i="2"/>
  <c r="E845" i="2"/>
  <c r="E843" i="2"/>
  <c r="E841" i="2"/>
  <c r="E839" i="2"/>
  <c r="E837" i="2"/>
  <c r="E835" i="2"/>
  <c r="E833" i="2"/>
  <c r="F832" i="2" s="1"/>
  <c r="E830" i="2"/>
  <c r="E828" i="2"/>
  <c r="E826" i="2"/>
  <c r="E824" i="2"/>
  <c r="E822" i="2"/>
  <c r="E820" i="2"/>
  <c r="E818" i="2"/>
  <c r="E816" i="2"/>
  <c r="E814" i="2"/>
  <c r="E812" i="2"/>
  <c r="E810" i="2"/>
  <c r="E808" i="2"/>
  <c r="E806" i="2"/>
  <c r="E804" i="2"/>
  <c r="E802" i="2"/>
  <c r="E800" i="2"/>
  <c r="E798" i="2"/>
  <c r="D798" i="2"/>
  <c r="E796" i="2"/>
  <c r="E794" i="2"/>
  <c r="D792" i="2"/>
  <c r="E792" i="2" s="1"/>
  <c r="E790" i="2"/>
  <c r="E788" i="2"/>
  <c r="E786" i="2"/>
  <c r="E784" i="2"/>
  <c r="F783" i="2" s="1"/>
  <c r="E781" i="2"/>
  <c r="E779" i="2"/>
  <c r="E777" i="2"/>
  <c r="E775" i="2"/>
  <c r="E773" i="2"/>
  <c r="E771" i="2"/>
  <c r="E769" i="2"/>
  <c r="E767" i="2"/>
  <c r="E765" i="2"/>
  <c r="E763" i="2"/>
  <c r="E761" i="2"/>
  <c r="E759" i="2"/>
  <c r="E757" i="2"/>
  <c r="E755" i="2"/>
  <c r="E753" i="2"/>
  <c r="E751" i="2"/>
  <c r="F748" i="2" s="1"/>
  <c r="F747" i="2" s="1"/>
  <c r="E749" i="2"/>
  <c r="E744" i="2"/>
  <c r="E742" i="2"/>
  <c r="E740" i="2"/>
  <c r="E738" i="2"/>
  <c r="E736" i="2"/>
  <c r="E734" i="2"/>
  <c r="E732" i="2"/>
  <c r="E730" i="2"/>
  <c r="E728" i="2"/>
  <c r="F727" i="2"/>
  <c r="E725" i="2"/>
  <c r="E723" i="2"/>
  <c r="E721" i="2"/>
  <c r="E719" i="2"/>
  <c r="E717" i="2"/>
  <c r="E715" i="2"/>
  <c r="E713" i="2"/>
  <c r="E711" i="2"/>
  <c r="E709" i="2"/>
  <c r="E707" i="2"/>
  <c r="E705" i="2"/>
  <c r="E703" i="2"/>
  <c r="E701" i="2"/>
  <c r="E699" i="2"/>
  <c r="D697" i="2"/>
  <c r="E697" i="2" s="1"/>
  <c r="E695" i="2"/>
  <c r="E693" i="2"/>
  <c r="D693" i="2"/>
  <c r="E691" i="2"/>
  <c r="E689" i="2"/>
  <c r="D687" i="2"/>
  <c r="E687" i="2" s="1"/>
  <c r="E685" i="2"/>
  <c r="E683" i="2"/>
  <c r="E681" i="2"/>
  <c r="F678" i="2" s="1"/>
  <c r="E679" i="2"/>
  <c r="E676" i="2"/>
  <c r="E674" i="2"/>
  <c r="E672" i="2"/>
  <c r="E670" i="2"/>
  <c r="E668" i="2"/>
  <c r="E666" i="2"/>
  <c r="E664" i="2"/>
  <c r="E662" i="2"/>
  <c r="E660" i="2"/>
  <c r="E658" i="2"/>
  <c r="E656" i="2"/>
  <c r="E654" i="2"/>
  <c r="E652" i="2"/>
  <c r="E650" i="2"/>
  <c r="F643" i="2" s="1"/>
  <c r="E648" i="2"/>
  <c r="E646" i="2"/>
  <c r="E644" i="2"/>
  <c r="E639" i="2"/>
  <c r="E637" i="2"/>
  <c r="E635" i="2"/>
  <c r="E633" i="2"/>
  <c r="E631" i="2"/>
  <c r="E629" i="2"/>
  <c r="E627" i="2"/>
  <c r="E625" i="2"/>
  <c r="E623" i="2"/>
  <c r="E621" i="2"/>
  <c r="E619" i="2"/>
  <c r="E617" i="2"/>
  <c r="E615" i="2"/>
  <c r="E613" i="2"/>
  <c r="E611" i="2"/>
  <c r="E609" i="2"/>
  <c r="E607" i="2"/>
  <c r="E605" i="2"/>
  <c r="E603" i="2"/>
  <c r="E601" i="2"/>
  <c r="F594" i="2" s="1"/>
  <c r="E599" i="2"/>
  <c r="E597" i="2"/>
  <c r="E595" i="2"/>
  <c r="E592" i="2"/>
  <c r="E590" i="2"/>
  <c r="E588" i="2"/>
  <c r="F581" i="2" s="1"/>
  <c r="E586" i="2"/>
  <c r="E584" i="2"/>
  <c r="E582" i="2"/>
  <c r="E579" i="2"/>
  <c r="E577" i="2"/>
  <c r="E575" i="2"/>
  <c r="F560" i="2" s="1"/>
  <c r="E573" i="2"/>
  <c r="E571" i="2"/>
  <c r="E569" i="2"/>
  <c r="E567" i="2"/>
  <c r="E565" i="2"/>
  <c r="E563" i="2"/>
  <c r="E561" i="2"/>
  <c r="E558" i="2"/>
  <c r="E556" i="2"/>
  <c r="E554" i="2"/>
  <c r="D552" i="2"/>
  <c r="E552" i="2" s="1"/>
  <c r="E550" i="2"/>
  <c r="E548" i="2"/>
  <c r="F547" i="2" s="1"/>
  <c r="E545" i="2"/>
  <c r="E543" i="2"/>
  <c r="E541" i="2"/>
  <c r="E539" i="2"/>
  <c r="E537" i="2"/>
  <c r="E535" i="2"/>
  <c r="E533" i="2"/>
  <c r="E531" i="2"/>
  <c r="E529" i="2"/>
  <c r="E527" i="2"/>
  <c r="E525" i="2"/>
  <c r="E523" i="2"/>
  <c r="E521" i="2"/>
  <c r="D519" i="2"/>
  <c r="E519" i="2" s="1"/>
  <c r="E517" i="2"/>
  <c r="F516" i="2" s="1"/>
  <c r="D512" i="2"/>
  <c r="E512" i="2" s="1"/>
  <c r="E510" i="2"/>
  <c r="E508" i="2"/>
  <c r="D508" i="2"/>
  <c r="E506" i="2"/>
  <c r="E502" i="2"/>
  <c r="E500" i="2"/>
  <c r="E498" i="2"/>
  <c r="E496" i="2"/>
  <c r="D494" i="2"/>
  <c r="E494" i="2" s="1"/>
  <c r="E492" i="2"/>
  <c r="E490" i="2"/>
  <c r="D490" i="2"/>
  <c r="E488" i="2"/>
  <c r="E486" i="2"/>
  <c r="D486" i="2"/>
  <c r="E484" i="2"/>
  <c r="D482" i="2"/>
  <c r="E482" i="2" s="1"/>
  <c r="E480" i="2"/>
  <c r="D478" i="2"/>
  <c r="E478" i="2" s="1"/>
  <c r="E476" i="2"/>
  <c r="D474" i="2"/>
  <c r="E474" i="2" s="1"/>
  <c r="E472" i="2"/>
  <c r="E470" i="2"/>
  <c r="E468" i="2"/>
  <c r="E466" i="2"/>
  <c r="E462" i="2"/>
  <c r="E460" i="2"/>
  <c r="E458" i="2"/>
  <c r="E456" i="2"/>
  <c r="E454" i="2"/>
  <c r="F443" i="2" s="1"/>
  <c r="E452" i="2"/>
  <c r="E450" i="2"/>
  <c r="E448" i="2"/>
  <c r="E446" i="2"/>
  <c r="E444" i="2"/>
  <c r="E440" i="2"/>
  <c r="E438" i="2"/>
  <c r="E436" i="2"/>
  <c r="E434" i="2"/>
  <c r="E432" i="2"/>
  <c r="E430" i="2"/>
  <c r="E428" i="2"/>
  <c r="E426" i="2"/>
  <c r="E424" i="2"/>
  <c r="E422" i="2"/>
  <c r="F421" i="2"/>
  <c r="F420" i="2"/>
  <c r="F419" i="2"/>
  <c r="F418" i="2"/>
  <c r="F417" i="2"/>
  <c r="E416" i="2"/>
  <c r="E414" i="2"/>
  <c r="F413" i="2" s="1"/>
  <c r="E408" i="2"/>
  <c r="E406" i="2"/>
  <c r="E404" i="2"/>
  <c r="E402" i="2"/>
  <c r="E400" i="2"/>
  <c r="E398" i="2"/>
  <c r="E396" i="2"/>
  <c r="E394" i="2"/>
  <c r="E392" i="2"/>
  <c r="F385" i="2" s="1"/>
  <c r="E390" i="2"/>
  <c r="E388" i="2"/>
  <c r="E386" i="2"/>
  <c r="E382" i="2"/>
  <c r="E380" i="2"/>
  <c r="E378" i="2"/>
  <c r="E376" i="2"/>
  <c r="E374" i="2"/>
  <c r="D374" i="2"/>
  <c r="E372" i="2"/>
  <c r="D370" i="2"/>
  <c r="E370" i="2" s="1"/>
  <c r="E368" i="2"/>
  <c r="E366" i="2"/>
  <c r="D366" i="2"/>
  <c r="E364" i="2"/>
  <c r="E362" i="2"/>
  <c r="E360" i="2"/>
  <c r="D358" i="2"/>
  <c r="E358" i="2" s="1"/>
  <c r="E356" i="2"/>
  <c r="E354" i="2"/>
  <c r="E352" i="2"/>
  <c r="E350" i="2"/>
  <c r="D350" i="2"/>
  <c r="E348" i="2"/>
  <c r="E344" i="2"/>
  <c r="E342" i="2"/>
  <c r="E340" i="2"/>
  <c r="E338" i="2"/>
  <c r="E336" i="2"/>
  <c r="E334" i="2"/>
  <c r="E332" i="2"/>
  <c r="E330" i="2"/>
  <c r="E328" i="2"/>
  <c r="E326" i="2"/>
  <c r="E324" i="2"/>
  <c r="E322" i="2"/>
  <c r="E320" i="2"/>
  <c r="E318" i="2"/>
  <c r="E316" i="2"/>
  <c r="E314" i="2"/>
  <c r="E312" i="2"/>
  <c r="E310" i="2"/>
  <c r="E308" i="2"/>
  <c r="E306" i="2"/>
  <c r="E304" i="2"/>
  <c r="E302" i="2"/>
  <c r="E300" i="2"/>
  <c r="E298" i="2"/>
  <c r="E296" i="2"/>
  <c r="E294" i="2"/>
  <c r="E292" i="2"/>
  <c r="E290" i="2"/>
  <c r="F288" i="2" s="1"/>
  <c r="E285" i="2"/>
  <c r="E283" i="2"/>
  <c r="E281" i="2"/>
  <c r="E279" i="2"/>
  <c r="E277" i="2"/>
  <c r="E275" i="2"/>
  <c r="E273" i="2"/>
  <c r="E271" i="2"/>
  <c r="E269" i="2"/>
  <c r="E267" i="2"/>
  <c r="E265" i="2"/>
  <c r="E263" i="2"/>
  <c r="E261" i="2"/>
  <c r="E259" i="2"/>
  <c r="E257" i="2"/>
  <c r="E255" i="2"/>
  <c r="E253" i="2"/>
  <c r="E251" i="2"/>
  <c r="E249" i="2"/>
  <c r="E247" i="2"/>
  <c r="E245" i="2"/>
  <c r="E243" i="2"/>
  <c r="E241" i="2"/>
  <c r="E239" i="2"/>
  <c r="E237" i="2"/>
  <c r="E235" i="2"/>
  <c r="E233" i="2"/>
  <c r="E231" i="2"/>
  <c r="E229" i="2"/>
  <c r="E227" i="2"/>
  <c r="E225" i="2"/>
  <c r="E223" i="2"/>
  <c r="E221" i="2"/>
  <c r="E219" i="2"/>
  <c r="E217" i="2"/>
  <c r="E215" i="2"/>
  <c r="E213" i="2"/>
  <c r="E210" i="2"/>
  <c r="E208" i="2"/>
  <c r="E206" i="2"/>
  <c r="E204" i="2"/>
  <c r="E202" i="2"/>
  <c r="E200" i="2"/>
  <c r="E198" i="2"/>
  <c r="E196" i="2"/>
  <c r="F195" i="2" s="1"/>
  <c r="E192" i="2"/>
  <c r="E190" i="2"/>
  <c r="E188" i="2"/>
  <c r="E186" i="2"/>
  <c r="E184" i="2"/>
  <c r="E182" i="2"/>
  <c r="E180" i="2"/>
  <c r="E178" i="2"/>
  <c r="E176" i="2"/>
  <c r="E174" i="2"/>
  <c r="F173" i="2" s="1"/>
  <c r="E170" i="2"/>
  <c r="E168" i="2"/>
  <c r="E166" i="2"/>
  <c r="E164" i="2"/>
  <c r="E162" i="2"/>
  <c r="E160" i="2"/>
  <c r="E158" i="2"/>
  <c r="E156" i="2"/>
  <c r="E154" i="2"/>
  <c r="E152" i="2"/>
  <c r="E150" i="2"/>
  <c r="E148" i="2"/>
  <c r="E146" i="2"/>
  <c r="F145" i="2" s="1"/>
  <c r="E142" i="2"/>
  <c r="E140" i="2"/>
  <c r="E138" i="2"/>
  <c r="E136" i="2"/>
  <c r="E134" i="2"/>
  <c r="E132" i="2"/>
  <c r="F131" i="2" s="1"/>
  <c r="E128" i="2"/>
  <c r="E126" i="2"/>
  <c r="F125" i="2" s="1"/>
  <c r="E122" i="2"/>
  <c r="E120" i="2"/>
  <c r="E118" i="2"/>
  <c r="E116" i="2"/>
  <c r="E114" i="2"/>
  <c r="E112" i="2"/>
  <c r="E110" i="2"/>
  <c r="E108" i="2"/>
  <c r="E106" i="2"/>
  <c r="E104" i="2"/>
  <c r="E102" i="2"/>
  <c r="E100" i="2"/>
  <c r="E98" i="2"/>
  <c r="F97" i="2" s="1"/>
  <c r="E94" i="2"/>
  <c r="E92" i="2"/>
  <c r="E90" i="2"/>
  <c r="E88" i="2"/>
  <c r="E86" i="2"/>
  <c r="D86" i="2"/>
  <c r="E84" i="2"/>
  <c r="D84" i="2"/>
  <c r="E82" i="2"/>
  <c r="E80" i="2"/>
  <c r="F79" i="2" s="1"/>
  <c r="E76" i="2"/>
  <c r="E74" i="2"/>
  <c r="E72" i="2"/>
  <c r="E70" i="2"/>
  <c r="E68" i="2"/>
  <c r="E66" i="2"/>
  <c r="E64" i="2"/>
  <c r="E62" i="2"/>
  <c r="F61" i="2" s="1"/>
  <c r="E58" i="2"/>
  <c r="E56" i="2"/>
  <c r="E54" i="2"/>
  <c r="E52" i="2"/>
  <c r="F47" i="2" s="1"/>
  <c r="E50" i="2"/>
  <c r="E48" i="2"/>
  <c r="E44" i="2"/>
  <c r="E42" i="2"/>
  <c r="E40" i="2"/>
  <c r="E38" i="2"/>
  <c r="E36" i="2"/>
  <c r="E34" i="2"/>
  <c r="E32" i="2"/>
  <c r="E30" i="2"/>
  <c r="F29" i="2"/>
  <c r="F28" i="2"/>
  <c r="F27" i="2"/>
  <c r="F26" i="2"/>
  <c r="E24" i="2" s="1"/>
  <c r="F19" i="2" s="1"/>
  <c r="E22" i="2"/>
  <c r="E20" i="2"/>
  <c r="E14" i="2"/>
  <c r="E12" i="2"/>
  <c r="E10" i="2"/>
  <c r="B2" i="2" s="1"/>
  <c r="C2" i="2" s="1"/>
  <c r="E1008" i="1"/>
  <c r="E1006" i="1"/>
  <c r="E1004" i="1"/>
  <c r="E1002" i="1"/>
  <c r="E1000" i="1"/>
  <c r="E998" i="1"/>
  <c r="E996" i="1"/>
  <c r="E994" i="1"/>
  <c r="E992" i="1"/>
  <c r="E990" i="1"/>
  <c r="F989" i="1" s="1"/>
  <c r="E981" i="1"/>
  <c r="E979" i="1"/>
  <c r="E977" i="1"/>
  <c r="C6" i="1" s="1"/>
  <c r="E975" i="1"/>
  <c r="E973" i="1"/>
  <c r="E971" i="1"/>
  <c r="E969" i="1"/>
  <c r="E967" i="1"/>
  <c r="E965" i="1"/>
  <c r="E963" i="1"/>
  <c r="E961" i="1"/>
  <c r="E959" i="1"/>
  <c r="E957" i="1"/>
  <c r="E955" i="1"/>
  <c r="E953" i="1"/>
  <c r="E951" i="1"/>
  <c r="E949" i="1"/>
  <c r="E947" i="1"/>
  <c r="E945" i="1"/>
  <c r="E943" i="1"/>
  <c r="E941" i="1"/>
  <c r="F936" i="1" s="1"/>
  <c r="E939" i="1"/>
  <c r="E937" i="1"/>
  <c r="E933" i="1"/>
  <c r="E931" i="1"/>
  <c r="E929" i="1"/>
  <c r="F918" i="1" s="1"/>
  <c r="E927" i="1"/>
  <c r="E925" i="1"/>
  <c r="E923" i="1"/>
  <c r="E921" i="1"/>
  <c r="E919" i="1"/>
  <c r="E916" i="1"/>
  <c r="E914" i="1"/>
  <c r="F899" i="1" s="1"/>
  <c r="F898" i="1" s="1"/>
  <c r="E912" i="1"/>
  <c r="E910" i="1"/>
  <c r="E908" i="1"/>
  <c r="E906" i="1"/>
  <c r="E904" i="1"/>
  <c r="E902" i="1"/>
  <c r="E900" i="1"/>
  <c r="E895" i="1"/>
  <c r="E893" i="1"/>
  <c r="E891" i="1"/>
  <c r="E889" i="1"/>
  <c r="E887" i="1"/>
  <c r="E885" i="1"/>
  <c r="E883" i="1"/>
  <c r="E881" i="1"/>
  <c r="E879" i="1"/>
  <c r="E877" i="1"/>
  <c r="E875" i="1"/>
  <c r="E873" i="1"/>
  <c r="E871" i="1"/>
  <c r="E869" i="1"/>
  <c r="E867" i="1"/>
  <c r="E865" i="1"/>
  <c r="E863" i="1"/>
  <c r="E861" i="1"/>
  <c r="E859" i="1"/>
  <c r="E857" i="1"/>
  <c r="E855" i="1"/>
  <c r="E853" i="1"/>
  <c r="F852" i="1" s="1"/>
  <c r="E849" i="1"/>
  <c r="E847" i="1"/>
  <c r="E845" i="1"/>
  <c r="E843" i="1"/>
  <c r="E841" i="1"/>
  <c r="E839" i="1"/>
  <c r="E837" i="1"/>
  <c r="E835" i="1"/>
  <c r="E833" i="1"/>
  <c r="F832" i="1" s="1"/>
  <c r="E830" i="1"/>
  <c r="E828" i="1"/>
  <c r="E826" i="1"/>
  <c r="E824" i="1"/>
  <c r="E822" i="1"/>
  <c r="E820" i="1"/>
  <c r="E818" i="1"/>
  <c r="E816" i="1"/>
  <c r="E814" i="1"/>
  <c r="E812" i="1"/>
  <c r="E810" i="1"/>
  <c r="E808" i="1"/>
  <c r="E806" i="1"/>
  <c r="E804" i="1"/>
  <c r="E802" i="1"/>
  <c r="E800" i="1"/>
  <c r="D798" i="1"/>
  <c r="E798" i="1" s="1"/>
  <c r="E796" i="1"/>
  <c r="E794" i="1"/>
  <c r="D792" i="1"/>
  <c r="E792" i="1" s="1"/>
  <c r="E790" i="1"/>
  <c r="E788" i="1"/>
  <c r="E786" i="1"/>
  <c r="E784" i="1"/>
  <c r="E781" i="1"/>
  <c r="E779" i="1"/>
  <c r="E777" i="1"/>
  <c r="E775" i="1"/>
  <c r="E773" i="1"/>
  <c r="E771" i="1"/>
  <c r="E769" i="1"/>
  <c r="E767" i="1"/>
  <c r="E765" i="1"/>
  <c r="E763" i="1"/>
  <c r="E761" i="1"/>
  <c r="E759" i="1"/>
  <c r="E757" i="1"/>
  <c r="F748" i="1" s="1"/>
  <c r="E755" i="1"/>
  <c r="E753" i="1"/>
  <c r="E751" i="1"/>
  <c r="E749" i="1"/>
  <c r="E744" i="1"/>
  <c r="E742" i="1"/>
  <c r="E740" i="1"/>
  <c r="E738" i="1"/>
  <c r="E736" i="1"/>
  <c r="E734" i="1"/>
  <c r="E732" i="1"/>
  <c r="E730" i="1"/>
  <c r="E728" i="1"/>
  <c r="F727" i="1" s="1"/>
  <c r="E725" i="1"/>
  <c r="E723" i="1"/>
  <c r="E721" i="1"/>
  <c r="E719" i="1"/>
  <c r="E717" i="1"/>
  <c r="E715" i="1"/>
  <c r="E713" i="1"/>
  <c r="E711" i="1"/>
  <c r="E709" i="1"/>
  <c r="E707" i="1"/>
  <c r="E705" i="1"/>
  <c r="E703" i="1"/>
  <c r="E701" i="1"/>
  <c r="E699" i="1"/>
  <c r="D697" i="1"/>
  <c r="E697" i="1" s="1"/>
  <c r="E695" i="1"/>
  <c r="D693" i="1"/>
  <c r="E693" i="1" s="1"/>
  <c r="E691" i="1"/>
  <c r="E689" i="1"/>
  <c r="E687" i="1"/>
  <c r="D687" i="1"/>
  <c r="E685" i="1"/>
  <c r="E683" i="1"/>
  <c r="E681" i="1"/>
  <c r="E679" i="1"/>
  <c r="E676" i="1"/>
  <c r="E674" i="1"/>
  <c r="F643" i="1" s="1"/>
  <c r="E672" i="1"/>
  <c r="E670" i="1"/>
  <c r="E668" i="1"/>
  <c r="E666" i="1"/>
  <c r="E664" i="1"/>
  <c r="E662" i="1"/>
  <c r="E660" i="1"/>
  <c r="E658" i="1"/>
  <c r="E656" i="1"/>
  <c r="E654" i="1"/>
  <c r="E652" i="1"/>
  <c r="E650" i="1"/>
  <c r="E648" i="1"/>
  <c r="E646" i="1"/>
  <c r="E644" i="1"/>
  <c r="E639" i="1"/>
  <c r="E637" i="1"/>
  <c r="E635" i="1"/>
  <c r="E633" i="1"/>
  <c r="E631" i="1"/>
  <c r="E629" i="1"/>
  <c r="E627" i="1"/>
  <c r="E625" i="1"/>
  <c r="E623" i="1"/>
  <c r="E621" i="1"/>
  <c r="E619" i="1"/>
  <c r="E617" i="1"/>
  <c r="E615" i="1"/>
  <c r="E613" i="1"/>
  <c r="E611" i="1"/>
  <c r="E609" i="1"/>
  <c r="E607" i="1"/>
  <c r="E605" i="1"/>
  <c r="E603" i="1"/>
  <c r="E601" i="1"/>
  <c r="E599" i="1"/>
  <c r="E597" i="1"/>
  <c r="E595" i="1"/>
  <c r="F594" i="1" s="1"/>
  <c r="E592" i="1"/>
  <c r="E590" i="1"/>
  <c r="E588" i="1"/>
  <c r="E586" i="1"/>
  <c r="E584" i="1"/>
  <c r="E582" i="1"/>
  <c r="F581" i="1"/>
  <c r="E579" i="1"/>
  <c r="E577" i="1"/>
  <c r="E575" i="1"/>
  <c r="E573" i="1"/>
  <c r="E571" i="1"/>
  <c r="E569" i="1"/>
  <c r="E567" i="1"/>
  <c r="E565" i="1"/>
  <c r="E563" i="1"/>
  <c r="F560" i="1" s="1"/>
  <c r="E561" i="1"/>
  <c r="E558" i="1"/>
  <c r="E556" i="1"/>
  <c r="E554" i="1"/>
  <c r="D552" i="1"/>
  <c r="E552" i="1" s="1"/>
  <c r="E550" i="1"/>
  <c r="E548" i="1"/>
  <c r="F547" i="1" s="1"/>
  <c r="E545" i="1"/>
  <c r="E543" i="1"/>
  <c r="E541" i="1"/>
  <c r="E539" i="1"/>
  <c r="E537" i="1"/>
  <c r="E535" i="1"/>
  <c r="E533" i="1"/>
  <c r="E531" i="1"/>
  <c r="E529" i="1"/>
  <c r="E527" i="1"/>
  <c r="E525" i="1"/>
  <c r="E523" i="1"/>
  <c r="E521" i="1"/>
  <c r="D519" i="1"/>
  <c r="E519" i="1" s="1"/>
  <c r="F516" i="1" s="1"/>
  <c r="E517" i="1"/>
  <c r="D512" i="1"/>
  <c r="E512" i="1" s="1"/>
  <c r="E510" i="1"/>
  <c r="D508" i="1"/>
  <c r="E508" i="1" s="1"/>
  <c r="E506" i="1"/>
  <c r="E502" i="1"/>
  <c r="E500" i="1"/>
  <c r="E498" i="1"/>
  <c r="E496" i="1"/>
  <c r="E494" i="1"/>
  <c r="D494" i="1"/>
  <c r="E492" i="1"/>
  <c r="E490" i="1"/>
  <c r="D490" i="1"/>
  <c r="E488" i="1"/>
  <c r="D486" i="1"/>
  <c r="E486" i="1" s="1"/>
  <c r="E484" i="1"/>
  <c r="E482" i="1"/>
  <c r="D482" i="1"/>
  <c r="E480" i="1"/>
  <c r="D478" i="1"/>
  <c r="E478" i="1" s="1"/>
  <c r="E476" i="1"/>
  <c r="E474" i="1"/>
  <c r="D474" i="1"/>
  <c r="E472" i="1"/>
  <c r="E470" i="1"/>
  <c r="E468" i="1"/>
  <c r="E466" i="1"/>
  <c r="F465" i="1" s="1"/>
  <c r="E462" i="1"/>
  <c r="E460" i="1"/>
  <c r="E458" i="1"/>
  <c r="E456" i="1"/>
  <c r="E454" i="1"/>
  <c r="E452" i="1"/>
  <c r="E450" i="1"/>
  <c r="E448" i="1"/>
  <c r="E446" i="1"/>
  <c r="E444" i="1"/>
  <c r="F443" i="1" s="1"/>
  <c r="E440" i="1"/>
  <c r="E438" i="1"/>
  <c r="E436" i="1"/>
  <c r="E434" i="1"/>
  <c r="E432" i="1"/>
  <c r="E430" i="1"/>
  <c r="E428" i="1"/>
  <c r="E426" i="1"/>
  <c r="E424" i="1"/>
  <c r="E422" i="1"/>
  <c r="F421" i="1"/>
  <c r="F420" i="1"/>
  <c r="F419" i="1"/>
  <c r="F418" i="1"/>
  <c r="F417" i="1"/>
  <c r="E416" i="1" s="1"/>
  <c r="E414" i="1"/>
  <c r="F413" i="1" s="1"/>
  <c r="E408" i="1"/>
  <c r="E406" i="1"/>
  <c r="E404" i="1"/>
  <c r="E402" i="1"/>
  <c r="E400" i="1"/>
  <c r="E398" i="1"/>
  <c r="E396" i="1"/>
  <c r="E394" i="1"/>
  <c r="E392" i="1"/>
  <c r="E390" i="1"/>
  <c r="E388" i="1"/>
  <c r="E386" i="1"/>
  <c r="E382" i="1"/>
  <c r="E380" i="1"/>
  <c r="E378" i="1"/>
  <c r="E376" i="1"/>
  <c r="D374" i="1"/>
  <c r="E374" i="1" s="1"/>
  <c r="E372" i="1"/>
  <c r="D370" i="1"/>
  <c r="E370" i="1" s="1"/>
  <c r="E368" i="1"/>
  <c r="D366" i="1"/>
  <c r="E366" i="1" s="1"/>
  <c r="E364" i="1"/>
  <c r="E362" i="1"/>
  <c r="E360" i="1"/>
  <c r="E358" i="1"/>
  <c r="D358" i="1"/>
  <c r="E356" i="1"/>
  <c r="E354" i="1"/>
  <c r="E352" i="1"/>
  <c r="D350" i="1"/>
  <c r="E350" i="1" s="1"/>
  <c r="E348" i="1"/>
  <c r="E344" i="1"/>
  <c r="E342" i="1"/>
  <c r="E340" i="1"/>
  <c r="E338" i="1"/>
  <c r="E336" i="1"/>
  <c r="E334" i="1"/>
  <c r="E332" i="1"/>
  <c r="E330" i="1"/>
  <c r="E328" i="1"/>
  <c r="E326" i="1"/>
  <c r="E324" i="1"/>
  <c r="E322" i="1"/>
  <c r="E320" i="1"/>
  <c r="E318" i="1"/>
  <c r="E316" i="1"/>
  <c r="E314" i="1"/>
  <c r="E312" i="1"/>
  <c r="E310" i="1"/>
  <c r="E308" i="1"/>
  <c r="E306" i="1"/>
  <c r="E304" i="1"/>
  <c r="E302" i="1"/>
  <c r="E300" i="1"/>
  <c r="E298" i="1"/>
  <c r="E296" i="1"/>
  <c r="E294" i="1"/>
  <c r="E292" i="1"/>
  <c r="E290" i="1"/>
  <c r="E285" i="1"/>
  <c r="E283" i="1"/>
  <c r="E281" i="1"/>
  <c r="E279" i="1"/>
  <c r="E277" i="1"/>
  <c r="E275" i="1"/>
  <c r="E273" i="1"/>
  <c r="E271" i="1"/>
  <c r="E269" i="1"/>
  <c r="E267" i="1"/>
  <c r="E265" i="1"/>
  <c r="E263" i="1"/>
  <c r="E261" i="1"/>
  <c r="E259" i="1"/>
  <c r="E257" i="1"/>
  <c r="E255" i="1"/>
  <c r="E253" i="1"/>
  <c r="E251" i="1"/>
  <c r="E249" i="1"/>
  <c r="E247" i="1"/>
  <c r="E245" i="1"/>
  <c r="E243" i="1"/>
  <c r="E241" i="1"/>
  <c r="E239" i="1"/>
  <c r="E237" i="1"/>
  <c r="E235" i="1"/>
  <c r="E233" i="1"/>
  <c r="E231" i="1"/>
  <c r="E229" i="1"/>
  <c r="E227" i="1"/>
  <c r="E225" i="1"/>
  <c r="E223" i="1"/>
  <c r="E221" i="1"/>
  <c r="E219" i="1"/>
  <c r="E217" i="1"/>
  <c r="E215" i="1"/>
  <c r="E213" i="1"/>
  <c r="E210" i="1"/>
  <c r="E208" i="1"/>
  <c r="E206" i="1"/>
  <c r="E204" i="1"/>
  <c r="E202" i="1"/>
  <c r="E200" i="1"/>
  <c r="E198" i="1"/>
  <c r="E196" i="1"/>
  <c r="E192" i="1"/>
  <c r="E190" i="1"/>
  <c r="E188" i="1"/>
  <c r="E186" i="1"/>
  <c r="E184" i="1"/>
  <c r="E182" i="1"/>
  <c r="E180" i="1"/>
  <c r="E178" i="1"/>
  <c r="E176" i="1"/>
  <c r="E174" i="1"/>
  <c r="E170" i="1"/>
  <c r="E168" i="1"/>
  <c r="E166" i="1"/>
  <c r="E164" i="1"/>
  <c r="E162" i="1"/>
  <c r="E160" i="1"/>
  <c r="E158" i="1"/>
  <c r="E156" i="1"/>
  <c r="E154" i="1"/>
  <c r="E152" i="1"/>
  <c r="E150" i="1"/>
  <c r="E148" i="1"/>
  <c r="E146" i="1"/>
  <c r="E142" i="1"/>
  <c r="E140" i="1"/>
  <c r="E138" i="1"/>
  <c r="E136" i="1"/>
  <c r="E134" i="1"/>
  <c r="E132" i="1"/>
  <c r="F131" i="1" s="1"/>
  <c r="E128" i="1"/>
  <c r="E126" i="1"/>
  <c r="F125" i="1" s="1"/>
  <c r="E122" i="1"/>
  <c r="E120" i="1"/>
  <c r="E118" i="1"/>
  <c r="E116" i="1"/>
  <c r="E114" i="1"/>
  <c r="E112" i="1"/>
  <c r="E110" i="1"/>
  <c r="E108" i="1"/>
  <c r="E106" i="1"/>
  <c r="E104" i="1"/>
  <c r="E102" i="1"/>
  <c r="E100" i="1"/>
  <c r="E98" i="1"/>
  <c r="E94" i="1"/>
  <c r="E92" i="1"/>
  <c r="E90" i="1"/>
  <c r="E88" i="1"/>
  <c r="D86" i="1"/>
  <c r="E86" i="1" s="1"/>
  <c r="D84" i="1"/>
  <c r="E84" i="1" s="1"/>
  <c r="E82" i="1"/>
  <c r="E80" i="1"/>
  <c r="E76" i="1"/>
  <c r="E74" i="1"/>
  <c r="E72" i="1"/>
  <c r="E70" i="1"/>
  <c r="E68" i="1"/>
  <c r="E66" i="1"/>
  <c r="E64" i="1"/>
  <c r="E62" i="1"/>
  <c r="E58" i="1"/>
  <c r="E56" i="1"/>
  <c r="E54" i="1"/>
  <c r="E52" i="1"/>
  <c r="E50" i="1"/>
  <c r="E48" i="1"/>
  <c r="E44" i="1"/>
  <c r="E42" i="1"/>
  <c r="E40" i="1"/>
  <c r="E38" i="1"/>
  <c r="E36" i="1"/>
  <c r="E34" i="1"/>
  <c r="E32" i="1"/>
  <c r="E30" i="1"/>
  <c r="F29" i="1"/>
  <c r="F28" i="1"/>
  <c r="F27" i="1"/>
  <c r="F26" i="1"/>
  <c r="E24" i="1" s="1"/>
  <c r="F19" i="1" s="1"/>
  <c r="E22" i="1"/>
  <c r="E20" i="1"/>
  <c r="E14" i="1"/>
  <c r="E12" i="1"/>
  <c r="E10" i="1"/>
  <c r="F47" i="1" l="1"/>
  <c r="F61" i="1"/>
  <c r="F97" i="1"/>
  <c r="F145" i="1"/>
  <c r="F173" i="1"/>
  <c r="F385" i="1"/>
  <c r="F347" i="1"/>
  <c r="F288" i="1"/>
  <c r="F195" i="1"/>
  <c r="F79" i="1"/>
  <c r="F642" i="2"/>
  <c r="F505" i="2"/>
  <c r="E6" i="2"/>
  <c r="B1011" i="2" s="1"/>
  <c r="E4" i="2"/>
  <c r="D2" i="2"/>
  <c r="B2" i="1"/>
  <c r="C2" i="1" s="1"/>
  <c r="F505" i="1"/>
  <c r="F515" i="2"/>
  <c r="F515" i="1"/>
  <c r="E6" i="1"/>
  <c r="B1011" i="1" s="1"/>
  <c r="F678" i="1"/>
  <c r="F642" i="1" s="1"/>
  <c r="F783" i="1"/>
  <c r="F747" i="1" s="1"/>
  <c r="F898" i="2"/>
  <c r="F465" i="2"/>
  <c r="F347" i="2"/>
  <c r="F9" i="1"/>
  <c r="F9" i="2"/>
  <c r="B1013" i="1" l="1"/>
  <c r="F1012" i="1" s="1"/>
  <c r="D1012" i="1"/>
  <c r="B1013" i="2"/>
  <c r="F1012" i="2" s="1"/>
  <c r="D1012" i="2"/>
  <c r="E4" i="1"/>
  <c r="D2" i="1" s="1"/>
  <c r="B984" i="2"/>
  <c r="F985" i="2"/>
  <c r="B3" i="2"/>
  <c r="B3" i="1" l="1"/>
  <c r="F985" i="1"/>
  <c r="B984" i="1"/>
  <c r="D985" i="2"/>
  <c r="F4" i="2"/>
  <c r="F6" i="2" s="1"/>
  <c r="B986" i="2"/>
  <c r="F2" i="2" s="1"/>
  <c r="B986" i="1" l="1"/>
  <c r="F2" i="1" s="1"/>
  <c r="D985" i="1"/>
  <c r="F4" i="1"/>
  <c r="F6" i="1" s="1"/>
</calcChain>
</file>

<file path=xl/sharedStrings.xml><?xml version="1.0" encoding="utf-8"?>
<sst xmlns="http://schemas.openxmlformats.org/spreadsheetml/2006/main" count="3162" uniqueCount="832">
  <si>
    <t>Total</t>
  </si>
  <si>
    <t>Total * 1.7</t>
  </si>
  <si>
    <t>Sales Price</t>
  </si>
  <si>
    <t>Multiplier</t>
  </si>
  <si>
    <t>Discounted Multiplier</t>
  </si>
  <si>
    <t>PLEASE CHECK THAT THE TOTAL FORMULA INCLUDE ALL NEW ITEMS WHICH YOU ADDED (IN CASE)</t>
  </si>
  <si>
    <t>Template</t>
  </si>
  <si>
    <t>Without HOP</t>
  </si>
  <si>
    <t>Discount Range</t>
  </si>
  <si>
    <t>Padding</t>
  </si>
  <si>
    <t>w/o HOP w Discount</t>
  </si>
  <si>
    <t>&lt;Utilities&gt;</t>
  </si>
  <si>
    <t>.</t>
  </si>
  <si>
    <t>PROJECT PREPARATION</t>
  </si>
  <si>
    <t>Permit Ready Set of Plans</t>
  </si>
  <si>
    <t>EA</t>
  </si>
  <si>
    <t>мы можем сделать планы за 5к</t>
  </si>
  <si>
    <t xml:space="preserve">Permit ready set of plans. </t>
  </si>
  <si>
    <t>Site plan and T24</t>
  </si>
  <si>
    <t>Labor to provide site plan and title 24.</t>
  </si>
  <si>
    <t>Building Permits &amp; Fees</t>
  </si>
  <si>
    <t>0.5% от суммы контракта!!!
Sales price * 0.005</t>
  </si>
  <si>
    <t xml:space="preserve">Labor to manage permitting and inspections (if required).
All Government fees shall be paid by the homeowner and are not included in the scope or contract. 
Customer shall be available and present for any and all city or county inspections. 
Structural and engineering plans are excluded. </t>
  </si>
  <si>
    <t>Design Consultation</t>
  </si>
  <si>
    <t>Labor to create design plans, collect owner requirements, develop and present concepts, refine and finalize design and details. 
Design time is limited to 8 hours (cumulatively for all contracts). This includes the design appointment, hours spent updating plans, and preparing plans for permits. Each additional hour shall be charged at $185/hour.</t>
  </si>
  <si>
    <t>DEMOLITION LABOR</t>
  </si>
  <si>
    <t>Demolition – Kitchen</t>
  </si>
  <si>
    <t>Do not change the price</t>
  </si>
  <si>
    <t>Labor to demo kitchen cabinets, countertop, backsplash. Removal of debris is included.</t>
  </si>
  <si>
    <t>Demolition – Bathroom</t>
  </si>
  <si>
    <t>Labor to demo bathroom cabinets, countertop, backsplash, wet area tile, bathroom accessories, and fixtures. Removal of debris is included.</t>
  </si>
  <si>
    <t>Demolition – Framing</t>
  </si>
  <si>
    <t>N/A</t>
  </si>
  <si>
    <t>always put 1 in quantity
D22 is a sum from D24-D27
Dropped ceiling removal - min 1k
garage/shed removal - up to 10k</t>
  </si>
  <si>
    <t>Labor to demo walls, posts, ponywalls, beams, and floor joists. Removal of debris is included.</t>
  </si>
  <si>
    <t>Walls (posts, soffits, pony-walls). Load bearing walls are excluded.</t>
  </si>
  <si>
    <t>LF</t>
  </si>
  <si>
    <t>Ceilings &amp; Dropped ceilings</t>
  </si>
  <si>
    <t>SF</t>
  </si>
  <si>
    <t>Floor joists</t>
  </si>
  <si>
    <t>Shed/garage (up to 15'x10')</t>
  </si>
  <si>
    <t>Demolition – Concrete</t>
  </si>
  <si>
    <t>Labor to demo concrete landings, driveways, foundation slabs, and footings. Removal of debris is included.</t>
  </si>
  <si>
    <t xml:space="preserve">Demolition – Flooring Floating </t>
  </si>
  <si>
    <t>Labor to demo flooring, baseboards, and transition pieces. Removal of debris is included.</t>
  </si>
  <si>
    <t>Demolition – Flooring Hardwood</t>
  </si>
  <si>
    <t>Labor to demo hardwood flooring, baseboards, and transition pieces. Removal of debris is included.</t>
  </si>
  <si>
    <t>Demolition – Flooring</t>
  </si>
  <si>
    <t>Demolition – Roof</t>
  </si>
  <si>
    <t xml:space="preserve">Labor to demo roof tile, roof shingles, plywood (if necessary). Removal of debris is included. </t>
  </si>
  <si>
    <t>Demolition – Exterior Surface</t>
  </si>
  <si>
    <t>Labor to demo exterior finishes, and fixtures. Removal of debris is included.</t>
  </si>
  <si>
    <t>Demolition – Fireplace</t>
  </si>
  <si>
    <t>Labor to demo one standard fireplace with a brick chimney. Demolition of finishing materials (tile, stone) are excluded. Removal of debris is included.</t>
  </si>
  <si>
    <t>Demolition – Other</t>
  </si>
  <si>
    <t xml:space="preserve">min $1200, 1 per each project
add comments if there are no items above for scope of your project, adjust price accordingly </t>
  </si>
  <si>
    <t>Removal of debris is included.</t>
  </si>
  <si>
    <t>FOUNDATION LABOR &amp; MATERIAL</t>
  </si>
  <si>
    <t>Grading/Excavation</t>
  </si>
  <si>
    <t>Floor SF</t>
  </si>
  <si>
    <t>per sf anyway</t>
  </si>
  <si>
    <t xml:space="preserve">Labor to do basic grading and excavation for a project site. Trenching and retaining walls are excluded. </t>
  </si>
  <si>
    <t>min 5k (grading + foundation)</t>
  </si>
  <si>
    <t>Slab Foundation | Labor &amp; Material</t>
  </si>
  <si>
    <t xml:space="preserve">Labor and material to do the foundation forms that are up to code and per plan. Labor and material to pour the concrete for a slab foundation. </t>
  </si>
  <si>
    <t>Perimeter Footing | Labor &amp; Material</t>
  </si>
  <si>
    <t>min 5k
For the raised foundation (if combined) 
and additional footings (for posts, LB walls, piers, 2nd floor remodels, stairs)</t>
  </si>
  <si>
    <t xml:space="preserve">Labor and material to do the foundation forms that are up to code and per plan. Labor and material to pour the concrete for a perimeter footing. </t>
  </si>
  <si>
    <t>Footing &amp; Pier | Labor &amp; Material</t>
  </si>
  <si>
    <t xml:space="preserve">Labor and material to do the foundation forms that are up to code and per plan. Labor and material to pour the concrete for a footing and pier (up to 24''x24''). </t>
  </si>
  <si>
    <t>Footing | Labor &amp; Material</t>
  </si>
  <si>
    <t>additional footing inside the foundation (for LB walls, patios etc)</t>
  </si>
  <si>
    <t xml:space="preserve">Labor and material to do the foundation forms that are up to code and per plan. Labor and material to pour the concrete for a footing. </t>
  </si>
  <si>
    <t>Retaining Wall | Labor &amp; Material</t>
  </si>
  <si>
    <t>tentatively (price)</t>
  </si>
  <si>
    <t>Labor and material to install a retaining wall that is up to code and per plan. Landscaping retaining wall is excluded. Height shall not exceed 3ft.</t>
  </si>
  <si>
    <t>HARDSCAPE | DRIVEWAY | DECK LABOR &amp; MATERIAL</t>
  </si>
  <si>
    <t>Hardscape | Labor &amp; Material</t>
  </si>
  <si>
    <t xml:space="preserve">Labor and material to do the forms and pour concrete. Standard brushed concrete type. Decorative, stained, stamped, painted concrete or pavers are excluded. Drainage system is excluded. </t>
  </si>
  <si>
    <t>Pavers | Labor</t>
  </si>
  <si>
    <t xml:space="preserve">Labor to install pavers for the area per plan. </t>
  </si>
  <si>
    <t>Driveway | Labor &amp; Material</t>
  </si>
  <si>
    <t xml:space="preserve">Labor and material to do the forms and pour concrete. Standard brushed concrete type. Decorative, stained, stamped, painted concrete or pavers are excluded. Public sidewalks, blacktop and anything outside of the property line is excluded. </t>
  </si>
  <si>
    <t>Exterior Door Landing w Step — Double Door | Labor &amp; Material</t>
  </si>
  <si>
    <t xml:space="preserve">Labor and material to install a concrete step landing and step outside a double exterior patio slider or french door. Landing size shall not exceed 6'x3' with one step down. </t>
  </si>
  <si>
    <t>Exterior Door Landing w Step — Single Door | Labor &amp; Material</t>
  </si>
  <si>
    <t xml:space="preserve">Labor and material to install a concrete step landing and step outside a single exterior door. Landing size shall not exceed 3'x3' with one step down. </t>
  </si>
  <si>
    <t>Exterior Door Landing — Double Door | Labor &amp; Material</t>
  </si>
  <si>
    <t>for new construction and slab foundation use hardscape instead of  landing
10 sf for single door
20 sf for double door</t>
  </si>
  <si>
    <t xml:space="preserve">Labor and material to install  a concrete step landing outside a double exterior patio slider or french door. Landing size shall not exceed 6'x3'. </t>
  </si>
  <si>
    <t>Exterior Door Landing — Single Door | Labor &amp; Material</t>
  </si>
  <si>
    <t xml:space="preserve">Labor and material to install a concrete step landing outside a single exterior door. Landing size shall not exceed 3'x3'. </t>
  </si>
  <si>
    <t>Exterior Ramp | Labor &amp; Material</t>
  </si>
  <si>
    <t xml:space="preserve">Labor and material to install a concrete ramp outside per code. </t>
  </si>
  <si>
    <t>FRAMING LABOR &amp; MATERIAL | NEW CONSTRUCTION</t>
  </si>
  <si>
    <t>Framing (walls, roof) | Labor</t>
  </si>
  <si>
    <t xml:space="preserve">Labor to do standard framing, shearwall and install trusses per plan (ceilings up to 8', 1 story). Material for trusses is excluded. </t>
  </si>
  <si>
    <t>Framing (walls, roof) Over 8' | Labor</t>
  </si>
  <si>
    <t>Do not use this line item together with the one above.</t>
  </si>
  <si>
    <t xml:space="preserve">Labor to do standard framing, shearwall and install trusses per plan (ceilings higher than 8', 1 story). Material for trusses is excluded. </t>
  </si>
  <si>
    <t>Framing (walls, roof) | Material</t>
  </si>
  <si>
    <t>Material to do standard framing, shearwall and install trusses per plan  (ceilings up to 8', 1 story). Material for trusses is excluded.</t>
  </si>
  <si>
    <t>Framing (walls, roof) Over 8' | Material</t>
  </si>
  <si>
    <t>Material to do standard framing, shearwall and install trusses per plan  (ceilings higher than 8', 1 story). Material for trusses is excluded.</t>
  </si>
  <si>
    <t>Framing Raised Foundation (floor joists) | Labor</t>
  </si>
  <si>
    <t>FOR THE RAISED FOUNDATION
Adding or extending existing overlap, raise floor level in garage
min $1.5k</t>
  </si>
  <si>
    <t xml:space="preserve">Labor to install standard floor joist 2x8 (up to 16 LF) per plan. </t>
  </si>
  <si>
    <t>Framing Raised Foundation (floor joists) | Material</t>
  </si>
  <si>
    <t xml:space="preserve">Material to install standard floor joist 2x8 (up to 16 LF) per plan. </t>
  </si>
  <si>
    <t>Trusses | Material</t>
  </si>
  <si>
    <t xml:space="preserve">Material for trusses, per plan. If homeowner has plans and permits then trusses have to be purchased from the company that did the truss calculations, per building department requirements. </t>
  </si>
  <si>
    <t>Framing (stairs) | Labor &amp; Material</t>
  </si>
  <si>
    <t xml:space="preserve">Create separate take of for the staicase sf only. </t>
  </si>
  <si>
    <t xml:space="preserve">Labor and material  to frame a staircase per plan. Finishing materials are excluded. </t>
  </si>
  <si>
    <t>FRAMING LABOR &amp; MATERIAL | REMODEL</t>
  </si>
  <si>
    <t xml:space="preserve">Reframe Load Bearing Wall | Labor &amp; Material </t>
  </si>
  <si>
    <t xml:space="preserve">Labor and material to plan, design and remove/reframe an existing load bearing wall, up to 10 LF. Two standard footings, two posts and one standard beam. 
Drywall, tape and texture, painting, floor repair, plumbing, closet set up, electrical outlets and switches are excluded. Sheer walls are excluded. Steel beams excluded. Engineering plans are excluded. 
Subject to change upon field inspection. Lath and plaster or cinder block walls are excluded and will be an additional cost that can be determined on site. 
Structural and engineer plans may result in a price increase. </t>
  </si>
  <si>
    <t xml:space="preserve">Dropped Ceiling Removal | Labor &amp; Material </t>
  </si>
  <si>
    <t xml:space="preserve">Labor and material to demo and raise dropped ceiling, up to 100 SF. Reframing, adding joists, painting, duct work, drywall tape and texture, insulating and any electrical/plumbing hindering removal are excluded. 
Lath and plaster or cinder block walls are excluded and will be an additional cost that can be determined on site. </t>
  </si>
  <si>
    <t>New Fireplace Frame | Labor &amp; Rough Material</t>
  </si>
  <si>
    <t xml:space="preserve">Labor and material to frame in fireplace (bumpout). 2x4 framing. Fireplace framing box size shall not exceed 8'x5'. Homeowner provided fireplace insert. Drywall, texture, tile and stone are excluded. </t>
  </si>
  <si>
    <t>Rebuilt Fireplace Frame | Labor &amp; Rough Material</t>
  </si>
  <si>
    <t>Labor and material to reframe opening for the new fireplace insert (regular 2x4 framing structure). Homeowner provided fireplace insert. 
Drywall, tape and texture, plumbing, closet set up, painting, moving/removing/adding electrical outlets and switches are excluded.</t>
  </si>
  <si>
    <t>Add New Pony Wall | Labor &amp; Material</t>
  </si>
  <si>
    <t>$400 min (min unit 4LF)</t>
  </si>
  <si>
    <t xml:space="preserve">Labor and material to plan, design and build frame for the pony wall (regular 2x4 framing structure). 
Painting, drywall, tape and texture and floor repairs are excluded.  </t>
  </si>
  <si>
    <t>Add New Wall | Labor &amp; Material</t>
  </si>
  <si>
    <t>$660min (min unit 6LF)</t>
  </si>
  <si>
    <t xml:space="preserve">Labor and material to frame in an additional wall (regular 2x4 framing structure). 
Framing for interior doors, drywall, tape and texture, plumbing, closet set up, painting, moving/removing/adding electrical outlets and switches are excluded. </t>
  </si>
  <si>
    <t xml:space="preserve">Add New Soffit Above Fridge/Pantry Cabinet | Labor &amp; Material </t>
  </si>
  <si>
    <t xml:space="preserve">Labor and material to add standard ceiling soffits (regular 2x4 framing structure and 12"x12" soffit, up to 3LF). 
Drywall, tape and texture, painting and ductwork are excluded. </t>
  </si>
  <si>
    <t>Add New Soffit Per Linear Foot | Labor &amp; Material</t>
  </si>
  <si>
    <t>$300 min (min unit 6LF)</t>
  </si>
  <si>
    <t xml:space="preserve">Labor and material to add standard ceiling soffits (regular 2x4 framing structure and 12"x12" soffit). 
Drywall, tape and texture, painting and ductwork are excluded. </t>
  </si>
  <si>
    <t>Expand Window | Non Load Bearing | Labor &amp; Material</t>
  </si>
  <si>
    <t xml:space="preserve">Reduce size or open below existing header. Header stays as is, if we need to alter the existing header, please use next line item </t>
  </si>
  <si>
    <t xml:space="preserve">Labor and material to decrease or lower existing window size. Existing header modifications are excluded. Permit and engineering plans and stucco/siding repairs are excluded. Subject to change upon engineering calculations. Lath and plaster or cinder block walls are excluded and will be an additional cost that can be determined on site. </t>
  </si>
  <si>
    <t>Expand/Modify Window | Load Bearing | Labor &amp; Material</t>
  </si>
  <si>
    <t>Alter Width or Height of window. Changing existing header (replacing)</t>
  </si>
  <si>
    <t xml:space="preserve">Labor and material to increase existing window size, either in width or raise the window. 
Permit and engineering plans and stucco/siding repairs are excluded. Subject to change upon engineering calculations. 
Lath and plaster or cinder block walls are excluded and will be an additional cost that can be determined on site. </t>
  </si>
  <si>
    <t>Expand/Create Entryway | Labor &amp; Material</t>
  </si>
  <si>
    <t xml:space="preserve">Labor and material to break through wall opening and increase an existing entryway or create a new one (horizontally only; Regular 2x4 framing structure, between 3-6 LF). 
Load bearing walls, drywall, tape and texture, plumbing, painting, electrical outlets and switches are excluded. 
Lath and plaster or cinder block walls are excluded and will be an additional cost that can be determined on site. </t>
  </si>
  <si>
    <t>Remove and Frame in opening | Labor &amp; Material</t>
  </si>
  <si>
    <t xml:space="preserve">For window or door. Please adjust the sf of window or door opening and change price accordingly </t>
  </si>
  <si>
    <t>Labor and material to remove and frame in an existing opening. Opening size shall not exceed 10SF. 
Drywall, tape and texture, insulation and exterior siding/stucco patching are excluded.</t>
  </si>
  <si>
    <t>Shower Bench Installation | Labor &amp; Material</t>
  </si>
  <si>
    <t xml:space="preserve">Labor to frame and prep for tiling one shower bench, up to 2x3 SF bench. </t>
  </si>
  <si>
    <t>RAILINGS LABOR &amp; MATERIAL</t>
  </si>
  <si>
    <t>Interior Railings | Labor &amp; Material</t>
  </si>
  <si>
    <t>Keep in mind that railings have to be counted according to the slope of staircase</t>
  </si>
  <si>
    <t xml:space="preserve">Labor and material to install interior railings. Material allocation for railing shall not exceed $35/LF. </t>
  </si>
  <si>
    <t>Exterior Railings | Labor &amp; Material</t>
  </si>
  <si>
    <t xml:space="preserve">Labor and material to install exterior railings. Material allocation for railing shall not exceed $35/LF. </t>
  </si>
  <si>
    <t>ROOF LABOR &amp; MATERIAL</t>
  </si>
  <si>
    <t>Shingle | Labor &amp; Material</t>
  </si>
  <si>
    <t>Roof SF</t>
  </si>
  <si>
    <t>min $2k</t>
  </si>
  <si>
    <t xml:space="preserve">Labor and material to install composite shingle type roof up to code and per plan. </t>
  </si>
  <si>
    <t>Tile | Labor &amp; Material</t>
  </si>
  <si>
    <t xml:space="preserve">Labor and material to install  tile type roof up to code and per plan. </t>
  </si>
  <si>
    <t>Metal | Labor &amp; Material</t>
  </si>
  <si>
    <t>quotes</t>
  </si>
  <si>
    <t xml:space="preserve">Labor and material to install metal type roof up to code and per plan. </t>
  </si>
  <si>
    <t>Gutters | Labor &amp; Material</t>
  </si>
  <si>
    <t xml:space="preserve">Labor and material to install seamless gutters (in manufacturer colors) up to code and per plan. Gutter guards are excluded. </t>
  </si>
  <si>
    <t>Downspouts | Labor &amp; Material</t>
  </si>
  <si>
    <t>Two stories count as 2 downspouts each. 
1 downspout per 40LF</t>
  </si>
  <si>
    <t xml:space="preserve">Labor and material to install standard downspouts (in manufacturer colors) up to code and per plan. </t>
  </si>
  <si>
    <t>Add Roof Jack For Ventilation | Labor &amp; Material</t>
  </si>
  <si>
    <t>Labor and material to add roof jack for new ventilation.</t>
  </si>
  <si>
    <t>HVAC LABOR &amp; MATERIAL</t>
  </si>
  <si>
    <t>HVAC New System | Labor</t>
  </si>
  <si>
    <t>Floor SF*25/12000 = ton
Ton - мощность HVAC системы
Floor SF - площадь помещения, для которого рассчитываем кондиционирование
Стоимость смотрим по бидам от сабов
5k labor - 1.5 ton</t>
  </si>
  <si>
    <t xml:space="preserve">Labor to run new ducting vents and connect to the new HVAC unit. Standard thermostat is included. 
Smart thermostats can be installed if provided by homeowner. </t>
  </si>
  <si>
    <t>HVAC Connect to Existing System | Labor</t>
  </si>
  <si>
    <t xml:space="preserve">Labor to run new ducting vents (up to 2 vents) and connect to the existing HVAC system. </t>
  </si>
  <si>
    <t>HVAC | Material</t>
  </si>
  <si>
    <t xml:space="preserve">Material only to purchase and provide a new HVAC unit. Material allocation shall not exceed $1,900/unit. </t>
  </si>
  <si>
    <t>Mini Split Single Zone | Labor</t>
  </si>
  <si>
    <t xml:space="preserve">Mainly for ADUs and additions. Do not use for fhrs unless specified in the survey/video. </t>
  </si>
  <si>
    <t xml:space="preserve">Labor to install a single mini split system with condenser. </t>
  </si>
  <si>
    <t>Mini Split Single Zone | Material</t>
  </si>
  <si>
    <t>Single mini split system with condenser material. Material allocation shall not exceed $1,500/unit.</t>
  </si>
  <si>
    <t>Mini Split Dual Zone | Labor</t>
  </si>
  <si>
    <t>Labor to install a dual mini split system with condenser.</t>
  </si>
  <si>
    <t>Mini Split Dual Zone | Material</t>
  </si>
  <si>
    <t>Dual mini split system with condenser material. Material allocation shall not exceed $3500/unit.</t>
  </si>
  <si>
    <t>Mini Split Triple Zone | Labor</t>
  </si>
  <si>
    <t>Labor to install a triple mini split system with condenser.</t>
  </si>
  <si>
    <t>Mini Split Triple Zone | Material</t>
  </si>
  <si>
    <t>Triple mini split system with condenser material. Material allocation shall not exceed $4500/unit.</t>
  </si>
  <si>
    <t>Ductwork for Kitchen Hood Vent | Labor &amp; Material</t>
  </si>
  <si>
    <t xml:space="preserve">Labor and material to run one new duct for exhaust fan. </t>
  </si>
  <si>
    <t>Ductwork for Bathroom/laundry Fan | Labor &amp; Material</t>
  </si>
  <si>
    <t xml:space="preserve">Labor and material to run one new duct for exhaust fan.        </t>
  </si>
  <si>
    <t>Ductwork for Dryer Vent | Labor &amp; Material</t>
  </si>
  <si>
    <t xml:space="preserve">Labor and material to run one new duct for exhaust fan.         </t>
  </si>
  <si>
    <t>Relocate HVAC Register (Ceiling or Floor) | Labor &amp; Material</t>
  </si>
  <si>
    <t>Labor to move an existing HVAC register (using the same ductwork) up to 12 inches of existing location. New HVAC cover included ($15 material allocation included). If wall or ceiling framing allows. Joist modification excluded. Any surface restorations excluded.</t>
  </si>
  <si>
    <t>UTILITIES LABOR &amp; MATERIAL</t>
  </si>
  <si>
    <t>Trenching | Labor | Up to 200LF</t>
  </si>
  <si>
    <r>
      <rPr>
        <sz val="10"/>
        <color theme="1"/>
        <rFont val="Arial"/>
      </rPr>
      <t xml:space="preserve">min $1.5k
account trenching for EACH line, water + sewer + gas. Electical line can be installed above the ground
</t>
    </r>
    <r>
      <rPr>
        <sz val="10"/>
        <color rgb="FFFF0000"/>
        <rFont val="Arial"/>
      </rPr>
      <t>FOR THE EXTERIOR LABOR ONLY, FOR ANY RELOCATIONS INSIDE THE HOUSE PLEASE USE LINE IN THE PLUMBING SECTION</t>
    </r>
  </si>
  <si>
    <t>Labor to do trenching for the utulities to connect main house with ADU. Depth of the thench shall not exceed 18''. Hard-pan layer of soil, stones, stams or trees removal is excluded.</t>
  </si>
  <si>
    <t>Trenching | Labor | Over 200LF</t>
  </si>
  <si>
    <t>Gas Line | Labor &amp; Material</t>
  </si>
  <si>
    <t>Labor and rough material to run a gas line for the new ADU. Up to 50LF. From the main house to the ADU.</t>
  </si>
  <si>
    <t>Gas Line | Labor &amp; Material | Over 50LF</t>
  </si>
  <si>
    <t>Labor and rough material to run a gas line for the new ADU. Up to 200LF. From the main house to the ADU.</t>
  </si>
  <si>
    <t>Electrical Line | Labor &amp; Material</t>
  </si>
  <si>
    <t>Labor and rough material to run an electrical line for the new ADU. Up to 50LF. From the main house to the ADU.</t>
  </si>
  <si>
    <t>Electrical Line | Labor &amp; Material | Over 50LF</t>
  </si>
  <si>
    <t>Labor and rough material to run an electrical line for the new ADU. Up to 200LF. From the main house to the ADU.</t>
  </si>
  <si>
    <t>Water Line | Labor &amp; Material</t>
  </si>
  <si>
    <t>Labor and rough material to run a water line for the new ADU. Up to 50LF. From the main house to the ADU.</t>
  </si>
  <si>
    <t>Water Line | Labor &amp; Material | Over 50LF</t>
  </si>
  <si>
    <t>Labor and rough material to run a water line for the new ADU. Up to 200LF. From the main house to the ADU.</t>
  </si>
  <si>
    <t>Sewer Line | Labor &amp; Material</t>
  </si>
  <si>
    <t>Labor and rough material to run a sewer line for the new ADU. Up to 50LF. From the main house to the ADU.</t>
  </si>
  <si>
    <t>Sewer Line | Labor &amp; Material | Over 50LF</t>
  </si>
  <si>
    <t>Labor and rough material to run a sewer line for the new ADU. Up to 200LF. From the main house to the ADU.</t>
  </si>
  <si>
    <t>PLUMBING LABOR &amp; MATERIAL</t>
  </si>
  <si>
    <t>Tankless Water Heater  | Labor &amp; Material</t>
  </si>
  <si>
    <t xml:space="preserve">Labor and material to install one standard tankless (gas or electrical) water heater and connect to existing utilities. 
Material allocation shall not exceed $1,500/tankless water heater.         </t>
  </si>
  <si>
    <t>Tank Water Heater  | Labor &amp; Material</t>
  </si>
  <si>
    <t xml:space="preserve">Labor and material to install one standard tank water heater (gas or electrical) and connect to existing utilities. 
Material allocation shall not exceed $1,000/tank water heater.         </t>
  </si>
  <si>
    <t>Water Heater Closet Installation | Labor and Material | Galvanized 24''</t>
  </si>
  <si>
    <t>Labor and material to install prefabricated outdoor galvanized water heater closet (24''). Material allocation shall not exceed $250 per closet (after tax and fees).</t>
  </si>
  <si>
    <t>New Gas Line (up to 15LF) | Labor &amp; Material</t>
  </si>
  <si>
    <t xml:space="preserve">$200 на большое количество работ ок </t>
  </si>
  <si>
    <t xml:space="preserve">Labor and material to install a new gas line, up to 15 LF. Demolition, structural modifications and surface restoration are excluded and subject to field inspection. </t>
  </si>
  <si>
    <t>New Gas Line (up to 30LF) | Labor &amp; Material</t>
  </si>
  <si>
    <t xml:space="preserve">Labor and material to install a new gas line, up to 30 LF. Demolition, structural modifications and surface restoration are excluded and subject to field inspection. </t>
  </si>
  <si>
    <t>New Gas Line (up to 45LF) | Labor &amp; Material</t>
  </si>
  <si>
    <t xml:space="preserve">Labor and material to install a new gas line, up to 45 LF. Demolition, structural modifications and surface restoration are excluded and subject to field inspection. </t>
  </si>
  <si>
    <t>Trench Concrete | Labor</t>
  </si>
  <si>
    <t xml:space="preserve">Labor to trench concrete slab for new plumbing or electrical wiring, up to 10 LF. Concrete repairs are included. Post-tensioned slabs are excluded. </t>
  </si>
  <si>
    <t>Add/Relocate Water/Drain/Vent (up to 20 LF) | Labor</t>
  </si>
  <si>
    <t>Keep in mind that installation of plumbing fixtures is excluded. Account all fixtures in items below
10 линий - 3500 ок, плюс водонагреватель, плюс газовая линия</t>
  </si>
  <si>
    <t>Labor to add one drain, water line and vent. Plumbing fixture installation is excluded from this line item. 
All plumbing fixtures (material) are excluded from this estimate and are homeowner provided (sinks, faucets, drains, shower heads, toilets, etc).</t>
  </si>
  <si>
    <r>
      <rPr>
        <b/>
        <sz val="11"/>
        <color theme="1"/>
        <rFont val="Arial"/>
      </rPr>
      <t xml:space="preserve">Install Plumbing Fixtures
</t>
    </r>
    <r>
      <rPr>
        <sz val="11"/>
        <color theme="1"/>
        <rFont val="Arial"/>
      </rPr>
      <t xml:space="preserve">All plumbing fixtures are homeowner provided unless specified in the line items below. </t>
    </r>
  </si>
  <si>
    <t>Sink and Faucet Installation | Labor</t>
  </si>
  <si>
    <t>Labor to install one new standard kitchen sink to existing line connection. Includes installation of new faucet, air gap and garbage disposal. 
Modifications to the rough plumbing and drainage systems are excluded and subject to field inspection.</t>
  </si>
  <si>
    <t>Sink | Material</t>
  </si>
  <si>
    <t>Undermount stainless steel 27 in. single bowl kitchen sink with accessories. Material allocation shall not exceed $245 per sink.</t>
  </si>
  <si>
    <t>Farmstyle Sink | Material</t>
  </si>
  <si>
    <t>Farmstyle stainless steel 33 in. single bowl kitchen sink with accessories. Material allocation shall not exceed $300 per sink.</t>
  </si>
  <si>
    <t>Faucet | Material</t>
  </si>
  <si>
    <t>Paulina single-handle kitchen faucet with soap dispenser in chrome. Material allocation shall not exceed $55 per faucet.</t>
  </si>
  <si>
    <t>Push Button | Material</t>
  </si>
  <si>
    <t>Sink-top push button in chrome. Material allocation shall not exceed $35 per button.</t>
  </si>
  <si>
    <t>Soap Dispenser | Material</t>
  </si>
  <si>
    <t>Metal soap dispenser in chrome. Material allocation shall not exceed $30 per dispenser.</t>
  </si>
  <si>
    <t>Air Gap | Material</t>
  </si>
  <si>
    <t>7/8 O.D. Air gap body with air gap cap in chrome. Material allocation shall not exceed $15 per air gap.</t>
  </si>
  <si>
    <t>Garbage Disposal | Material</t>
  </si>
  <si>
    <t>Prep Series 1/2 HP continuous feed garbage disposal with power cord and universal mount. Material allocation shall not exceed $130 per disposal.</t>
  </si>
  <si>
    <t>Pot Filler Installation | Labor</t>
  </si>
  <si>
    <t>Labor to install one new provided standard kitchen pot filler and connect to existing water line connections. Modifications to the rough plumbing are excluded.</t>
  </si>
  <si>
    <t>Pot Filler Installation | Material</t>
  </si>
  <si>
    <t>Wall mounted pot filler in brushed nickel. Material allocation shall not exceed $95 per one filler.</t>
  </si>
  <si>
    <t>Vanity Sink and Faucet Installation | Labor</t>
  </si>
  <si>
    <t>Labor to install one new standard sink and faucet. Connect supply lines between existing shut-off valves and faucet.</t>
  </si>
  <si>
    <t>Vanity Sink | Material</t>
  </si>
  <si>
    <t>KOHLER Caxton 20-5/16 in. undermount rectangular bathroom sink. Material allocation shall not exceed $165 per sink.</t>
  </si>
  <si>
    <t>Vanity Faucet | Material</t>
  </si>
  <si>
    <t>Round single-handle, single-hole bathroom faucet in brushed nickel. Material allocation shall not exceed $90 per faucet.</t>
  </si>
  <si>
    <t>Toilet Installation | R&amp;R Floor Mount | Labor</t>
  </si>
  <si>
    <t>For the remodelling projects only. New construction doesn't need this line items</t>
  </si>
  <si>
    <t>Labor to replace one homeowner provided standard floor mount toilet in same locations. Fit and secure toilet with a new wax ring. Connect to existing plumbing. Excludes rough plumbing, wall alterations and restoration.</t>
  </si>
  <si>
    <t>Toilet Installation | New Floor Mount | Labor</t>
  </si>
  <si>
    <t>Labor to install one new floor mount toilet in new location. Fit and secure toilet with a new wax ring. Connect to existing plumbing. Excludes rough plumbing, wall alterations and restoration.</t>
  </si>
  <si>
    <t>Toilet | Floor Mount | Material</t>
  </si>
  <si>
    <t>2-Piece 1.28 GPF high efficiency single flush round toilet in white. Material allocation shall not exceed $120 per toilet.</t>
  </si>
  <si>
    <t>Toilet Installation | New Wall Mount | Labor</t>
  </si>
  <si>
    <t xml:space="preserve">Labor to install one new wall mount toilet in new location. Fit and secure toilet to the wall. Connect to existing plumbing. Minor framing modifications are included. Excludes structural modifications. </t>
  </si>
  <si>
    <t>Toilet | Wall Mount | Material</t>
  </si>
  <si>
    <t>Wall hung toilet bowl 0.8/1.28 GPF in white. Material allocation shall not exceed $240 per toilet.
Concealed in-wall toilet carrier system 2 in. x 4 in. for wall-hung 1.28 GPF toilet. Material allocation shall not exceed $285 per carrier system.
0.8/1.28 GPF wall mount dual flush push button plate in white. Material allocation shall not exceed $40 per button.</t>
  </si>
  <si>
    <t>Mixer Valve and Trim Kit Installation | Labor</t>
  </si>
  <si>
    <t xml:space="preserve">Labor to install one new standard shower mixer valve, head, neck and spout. </t>
  </si>
  <si>
    <t>Mixer Valve and Trim Kit | Material</t>
  </si>
  <si>
    <t>Single-handle 1-spray tub and shower faucet in chrome (valve Included). Material allocation shall not exceed $155 per set.
Universal tub and shower valve body rough-in kit. Material allocation shall not exceed $45 per one rough-in.
Round white PVC shower drain with 4-1/4 in. Round snap-In stainless steel drain cover. Material allocation shall not exceed $15 per set.</t>
  </si>
  <si>
    <t>Rain Shower Head Installation | Labor</t>
  </si>
  <si>
    <t xml:space="preserve">Labor to install one new standard rain shower head. Includes framing to support rain shower head and new rough plumbing to existing mixer valve. </t>
  </si>
  <si>
    <t>Rain Shower Head | Material</t>
  </si>
  <si>
    <t>10 in. single wall mount fixed rain shower head. Material allocation shall not exceed $100 per shower head.</t>
  </si>
  <si>
    <t xml:space="preserve">Diverter Installation | Labor </t>
  </si>
  <si>
    <t xml:space="preserve">Labor to install one new standard diverter valve. Diverter location shall not exceed 5 LF of piping. </t>
  </si>
  <si>
    <t>Diverter | Material</t>
  </si>
  <si>
    <t>1-handle diverter valve. Material allocation shall not exceed $90 per valve.</t>
  </si>
  <si>
    <t>Zero Entry Shower Pan Upgrade | Concrete Slab | Labor</t>
  </si>
  <si>
    <t xml:space="preserve">Labor to install zero threshold shower pan in a slab foundation with a new standard linear drain (under favorable conditions).
Tensioned slabs, structural modifications, surface and sewage pipe alterations are excluded and are subject to field inspection. 
System modifications may result in price increases. </t>
  </si>
  <si>
    <t>Zero Threshold Shower Pan Upgrade | Raised Foundation | Labor</t>
  </si>
  <si>
    <t xml:space="preserve">Labor to install zero threshold shower pan in raised foundation with a new standard linear drain (under favorable conditions). 
Structural modifications, load bearing beam modifications surface and sewage pipe alterations are excluded and are subject to field inspection. 
System modifications may result in price increases. </t>
  </si>
  <si>
    <t>Linear Shower Drain | Material</t>
  </si>
  <si>
    <t>24 in. stainless steel linear shower drain with square pattern drain cover. Material allocation shall not exceed $185 per drain.</t>
  </si>
  <si>
    <t>Bathtub Installation | Basic/Standard | Labor</t>
  </si>
  <si>
    <t>Labor to install one homeowner provided standard size tub and drain. Connected to existing plumbing. 
Wall alterations, plumbing extensions and bath fixture installation are excluded.</t>
  </si>
  <si>
    <t>Standard Bathtub | Material</t>
  </si>
  <si>
    <t>60 in. left drain rectangular soaking bathtub in white. Material allocation shall not exceed $265 per tub.</t>
  </si>
  <si>
    <t>Bathtub Installation | Freestanding Tub | Labor</t>
  </si>
  <si>
    <t xml:space="preserve">Labor to install one homeowner provided standard freestanding tub. Connected to existing plumbing. 
Wall alterations, plumbing extensions and bath fixture installation are excluded. </t>
  </si>
  <si>
    <t>Freestanding Tub | Material</t>
  </si>
  <si>
    <t>54 in. acrylic flatbottom freestanding bathtub in white. Material allocation shall not exceed $720 per tub.</t>
  </si>
  <si>
    <t>Free Standing Tub Filler Installation | Concrete Slab | Labor</t>
  </si>
  <si>
    <t>For the remodelling projects only. New construction doesn't need this line items, use for the raised foundation</t>
  </si>
  <si>
    <t xml:space="preserve">Labor to install homeowner provided standard free-standing tub filler for a soaking tub. Relocate existing plumbing in a concrete slab to new location (up to 3LF away), assemble, secure the plumbing fixture and repair slab. 
Post tensioned slabs excluded. </t>
  </si>
  <si>
    <t>Free Standing Tub Filler Installation | Raised Foundation | Labor</t>
  </si>
  <si>
    <t xml:space="preserve">Labor to install homeowner provided standard free-standing tub filler for a soaking tub. Relocate existing plumbing in a raised foundation (up to 3LF away), to new location, assemble and secure the plumbing fixture. 
Excludes installation on concrete slab foundations. </t>
  </si>
  <si>
    <t>Free Standing Tub Filler | Material</t>
  </si>
  <si>
    <t>1-Handle freestanding floor mount tub faucet. Material allocation shall not exceed $350 per filler.</t>
  </si>
  <si>
    <t>Bathtub Installation | Drop In | Labor</t>
  </si>
  <si>
    <t>Labor to install one homeowner provided standard drop in tub and drain. Connected to existing plumbing. Modify or build new frame for tub. 
Wall alterations, plumbing extensions and bath fixture installation are excluded.</t>
  </si>
  <si>
    <t>Drop In Tub | Material</t>
  </si>
  <si>
    <t>Acrylic rectangular drop-in bathtub in white. Material allocation shall not exceed $580 per tub.
60 in. deep soak whirlpool drain. Material allocation shall not exceed $145 per drain.</t>
  </si>
  <si>
    <t>Bathtub Installation | Jacuzzi | Labor</t>
  </si>
  <si>
    <t xml:space="preserve">Labor to install one homeowner provided standard freestanding jacuzzi and drain. Connect to existing 220V line and existing plumbing. 
Wall alterations, plumbing extensions and bath fixture installation are excluded. </t>
  </si>
  <si>
    <t>ELECTRICAL LABOR &amp; MATERIAL</t>
  </si>
  <si>
    <t xml:space="preserve">All light fixtures are homeowner provided. </t>
  </si>
  <si>
    <t>Remove Wiring | Labor</t>
  </si>
  <si>
    <t xml:space="preserve">Labor to remove existing electrical wiring in walls/ceililngs being demoed. </t>
  </si>
  <si>
    <t>New Subpanel | Labor &amp; Material</t>
  </si>
  <si>
    <t xml:space="preserve">Labor to install a new electrical sub panel up to current building code. Includes one main fuse to activate sub panel. 
Labor and material allocation shall not exceed $1200. 
Max distance from main panel to sub panel shall not exceed  25LF. 
Any patching and painting are excluded. Cinder block and lath and plaster walls are excluded. </t>
  </si>
  <si>
    <t>New Panel | Labor &amp; Material</t>
  </si>
  <si>
    <t>Labor to install new electrical panel in the same location. Includes one main fuse to activate the service. 
Labor and material allocation shall not exceed $2300. 
Any patching and painting of the exterior surfaces are excluded. Cinder block and lath and plaster walls are excluded.</t>
  </si>
  <si>
    <t>Add 120V Line | Labor &amp; Material</t>
  </si>
  <si>
    <t>Outlets are not included in this line item, please include them in line items below</t>
  </si>
  <si>
    <t xml:space="preserve">Labor and material to run wiring for 120V dedicated electrical line (provided there is an open bay in existing electrical panel). Route, secure and connect new wiring, up to 40 LF run. 
Exterior conduit and any patching and painting are excluded.  Cinder block and lath and plaster walls are excluded. </t>
  </si>
  <si>
    <t>Add 240V Line | Labor &amp; Material</t>
  </si>
  <si>
    <t xml:space="preserve">Labor and material to run wiring for 240V dedicated electrical line (provided there is an open bay in existing electrical panel). Route, secure and connect new wiring, up to 40 LF run. 
Exterior conduit and any patching and painting are excluded. Cinder block and lath and plaster walls are excluded. </t>
  </si>
  <si>
    <t>Can Lights | Labor &amp; Material</t>
  </si>
  <si>
    <t>$70 за штуку ок при большом количестве электрики</t>
  </si>
  <si>
    <t xml:space="preserve">Labor and material to install can/recessed lighting (not to exceed 20 LF from power source). If an existing switch cannot be re used for the new light, a new switch will be required and is excluded from this item. 
Any patching and painting are excluded. Cinder block and lath and plaster walls are excluded. 
Can light allocation shall not exceed $30/light. </t>
  </si>
  <si>
    <t>Outlet | Add New Outlet | Labor &amp; Material</t>
  </si>
  <si>
    <t>Include all new outlets (120/240 lines doesn't include any outlets)
$30 за розетку ок если слишком большой объем (30 розеток, 16 линий) - только нью констракшн</t>
  </si>
  <si>
    <t>Labor and material to add a standard outlet with new wiring. Allocation shall not exceed $30/outlet. 
Specialty outlets (USB, In Cabinet, Pop Up, etc) are excluded. Any patching and painting are excluded. Cinder block and lath and plaster walls are excluded.</t>
  </si>
  <si>
    <t>Outlet | Upgrade | Specialty Device (GFCI/USB/AFI) | Labor &amp; Material</t>
  </si>
  <si>
    <t xml:space="preserve">Labor to upgrade an existing outlet to GFCI/AFCI/USB outlet in the same location. 
Any patching and painting are excluded. Cinder block and lath and plaster walls are excluded. </t>
  </si>
  <si>
    <t>Outlet | Upgrade | Tamper Resistance | Labor &amp; Material</t>
  </si>
  <si>
    <t>Labor and material to upgrade an existing outlet to a tamper resistant outlet (same location). 
Outlet and plate allocation shall not exceed $15. 
Any patching and painting are excluded. Cinder block and lath and plaster walls are excluded.</t>
  </si>
  <si>
    <t>Outlet | Upgrade | Cover Plate and Outlet | Labor &amp; Material</t>
  </si>
  <si>
    <t>Labor and material to upgrade an existing outlet and cover plate (same location). This is meant to improve aesthetics, not change function of outlet. 
Outlet and plate allocation shall not exceed $15.</t>
  </si>
  <si>
    <t>Outlets | Relocate | Labor &amp; Material | Labor &amp; Material</t>
  </si>
  <si>
    <t>Labor to relocate an existing outlet using existing wiring. If wiring is not long enough to accommodate new location, an additional charge may be needed to add more wiring. 
Allocation shall not exceed $20/outlet. 
Specialty outlets (USB, In Cabinet, Pop Up, etc) are excluded. Any patching and painting are excluded. Cinder block and lath and plaster walls are excluded.</t>
  </si>
  <si>
    <t>Outlet | Remove Existing Outlet | Labor &amp; Material</t>
  </si>
  <si>
    <t>Labor to cap off an existing outlet and add a cover plate. 
Any patching and painting are excluded. Cinder block and lath and plaster walls are excluded.</t>
  </si>
  <si>
    <t>Switch | Add New Switch | Labor &amp; Material</t>
  </si>
  <si>
    <t>$35 за свич ок если слишком большой объем (30 розеток, 10 свичей, 16 линий) - только нью констракшн</t>
  </si>
  <si>
    <t>Labor and material to add a standard switch with new wiring. Allocation shall not exceed $20/switch. 
Specialty switches (Dimmer, Vacancy, Humidistat, etc) are excluded. Any patching and painting are excluded. Cinder block and lath and plaster walls are excluded. 
3-way switches are counted as one individual switch (so 3 switches total per 1 3-way switch).</t>
  </si>
  <si>
    <t>Switch | Add New Switch (Dimmer, Sensor, Humidistat, Vacancy) | Labor &amp; Material</t>
  </si>
  <si>
    <t>Describe all switches in categories</t>
  </si>
  <si>
    <t>Labor to add a specialty switch (Dimmer, Vacancy, Humidistat) with new wiring. 
Allocation shall not exceed $35/switch. 
Any patching and painting are excluded. Cinder block and lath and plaster walls are excluded.</t>
  </si>
  <si>
    <t>Switch | Upgrade | Specialty Device (Dimmer, Sensor, Humidistat, Vacancy) | Labor &amp; Material</t>
  </si>
  <si>
    <t xml:space="preserve">Labor to upgrade an existing switch to a specialty switch in the same location (Dimmer, Sensor, Humidistat, Vacancy). 
Any patching and painting are excluded. Cinder block and lath and plaster walls are excluded. </t>
  </si>
  <si>
    <t>Switch | Upgrade | Cover Plate and Switch | Labor &amp; Material</t>
  </si>
  <si>
    <t>Labor and material to upgrade an existing switch and cover plate (same location). This is meant to improve aesthetics, not change function of the switch. 
Switch and plate allocation shall not exceed $15.</t>
  </si>
  <si>
    <t>Switch | Relocate | Labor &amp; Material</t>
  </si>
  <si>
    <t>Labor to relocate an existing switch using existing wiring. If wiring is not long enough to accommodate new location, an additional charge may be needed to add more wiring. 
Allocation shall not exceed $20/switch. 
Specialty switches (Dimmer, Vacancy, Humidistat, etc) are excluded. Any patching and painting are excluded. Cinder block and lath and plaster walls are excluded.</t>
  </si>
  <si>
    <t>Switch | Remove Existing Switch | Labor</t>
  </si>
  <si>
    <t>Labor to cap off an existing switch and add a cover plate. 
Any patching and painting are excluded. Cinder block and lath and plaster walls are excluded.</t>
  </si>
  <si>
    <t>Laundry Exhaust Fan | Labor</t>
  </si>
  <si>
    <t>Labor to install one new homeowner provided laundry fan in a new opening.</t>
  </si>
  <si>
    <t>Bathroom Exhaust Fan | Labor</t>
  </si>
  <si>
    <t>Labor to install one new homeowner provided bathroom fan in a new opening.</t>
  </si>
  <si>
    <t>Bathroom/Laundry Exhaust Fan | Material</t>
  </si>
  <si>
    <t>150 CFM Ceiling bathroom exhaust fan with humidistat. Material allocation shall notexceed $190 per fan.</t>
  </si>
  <si>
    <t>Light Fixture Installation | Labor</t>
  </si>
  <si>
    <t xml:space="preserve">Labor to install one new light fixture. New wiring and light assembly is included. 
If an existing switch cannot be re used for the new light, a new switch will be required and is excluded from this item. 
Any patching and painting are excluded. Cinder block and lath and plaster walls are excluded. </t>
  </si>
  <si>
    <t>Vanity Light | Material</t>
  </si>
  <si>
    <t>Regan 21 in. 3-Light chrome bathroom vanity light. Material allocation shall not exceed $100 per light.</t>
  </si>
  <si>
    <t>Pendant Light | Material</t>
  </si>
  <si>
    <t>Mullins 6.75 in. brushed nickel pendant light. Material allocation shall not exceed $75 per light.</t>
  </si>
  <si>
    <t>Ceiling Light Fixture | Material</t>
  </si>
  <si>
    <t>12 in. Brushed nickel LED flush mount ceiling light. Material allocation shall not exceed $45 per light.</t>
  </si>
  <si>
    <t>Exterior Light | Material</t>
  </si>
  <si>
    <t>1-Light outdoor wall light. Material allocation shall not exceed $65 per light.</t>
  </si>
  <si>
    <t>Ceiling Fan/Chandelier | Labor</t>
  </si>
  <si>
    <t xml:space="preserve">Labor to install one new ceiling fan or pre-assembled chandelier. New wiring and fan assembly is included.  
If an existing switch cannot be re used for the new fan, a new switch will be required and is excluded from this item. 
Any patching and painting are excluded. Cinder block and lath and plaster walls are excluded. </t>
  </si>
  <si>
    <t>Ceiling Fan/Chandelier | Material</t>
  </si>
  <si>
    <t>Ceiling fan or chandelier material. Material allocation shall not exceed $200 per light.</t>
  </si>
  <si>
    <t>DOORS LABOR &amp; MATERIAL</t>
  </si>
  <si>
    <t>Garage Door | Labor</t>
  </si>
  <si>
    <t>Labor to install one standard-sized 9'x7' garage door and motor.</t>
  </si>
  <si>
    <t>Garage Door | Material</t>
  </si>
  <si>
    <t>Standard-sized garage door and motor material. Material allocation shall not exceed $1500 combined.</t>
  </si>
  <si>
    <t>Exterior Entry Door | Labor</t>
  </si>
  <si>
    <t xml:space="preserve">Labor to install a standard-sized front entry door. </t>
  </si>
  <si>
    <t>Exterior Entry Door | Material</t>
  </si>
  <si>
    <t>Standard-sized unpainted MDF front entry door material. 
Material allocation shall not exceed $710 (for door, casing, and hanging hardware). 
Any side lights, transom windows, and glass inserts are excluded. Standard-profile casings are included.</t>
  </si>
  <si>
    <t>Security/Fire Door | Labor</t>
  </si>
  <si>
    <t>Labor to install a standard-sized security/fire door.</t>
  </si>
  <si>
    <t>Security/Fire Door | Material</t>
  </si>
  <si>
    <t>Standard-sized unpainted security/fire door material. 
Material allocation shall not exceed $300 (for door, casing, and hanging hardware). 
Any side lights, transom windows, and glass inserts are excluded. Standard-profile casings are included.</t>
  </si>
  <si>
    <t>Interior Swing Door | Labor</t>
  </si>
  <si>
    <t>Labor to install a standard-sized interior swing door.</t>
  </si>
  <si>
    <t>Interior Swing Door | Material</t>
  </si>
  <si>
    <t>Standard-sized unpainted MDF interior swing door material. 
Material allocation for door shall not exceed $240 (for door, casing, and hanging hardware). 
Standard-profile casings are included.</t>
  </si>
  <si>
    <t>Interior Pocket Door | Labor</t>
  </si>
  <si>
    <t xml:space="preserve">Labor to install/replace a standard-sized pocket door. Open up wall, reframe area for pocket door, drywall, tape and texture reframed area. 
Load bearing wall modification, moving electrical, plumbing, and painting are excluded. </t>
  </si>
  <si>
    <t>Interior Pocket Door | Material</t>
  </si>
  <si>
    <t>Standard-sized unpainted MDF interior pocket door material. 
Material allocation for door shall not exceed $620 (for door, casing, hardware and handles). 
Standard-profile casings are included.</t>
  </si>
  <si>
    <t>Interior French Door | Labor</t>
  </si>
  <si>
    <t>Labor to install a standard-sized interior french door. Painting is excluded.</t>
  </si>
  <si>
    <t>Interior French Door | Material</t>
  </si>
  <si>
    <t>Standard-sized unpainted MDF interior french door material. 
Material allocation for door shall not exceed $620 (for door, casing, hardware and handles).
 Any side lights, transom windows, and glass inserts are excluded. Standard-profile casings are included.</t>
  </si>
  <si>
    <t>Interior Barndoor | Labor</t>
  </si>
  <si>
    <t>Labor to install a standard-sized interior barn style door, per door. Painting is excluded.</t>
  </si>
  <si>
    <t>Interior Barndoor | Material</t>
  </si>
  <si>
    <t>Standard-sized unpainted MDF interior barndoor material. 
Material allocation shall not exceed $660 (for door, casing, hardware and handles).  
Any side lights, transom windows, and glass inserts are excluded. Standard-profile casings are included.</t>
  </si>
  <si>
    <t>Closet Bypass Door | Labor</t>
  </si>
  <si>
    <t xml:space="preserve">Labor to install a standard-sized closet bypass door. </t>
  </si>
  <si>
    <t>Closet Bypass Door | Material</t>
  </si>
  <si>
    <t>Standard-sized unpainted MDF closet - bypass door material. 
Material allocation for door shall not exceed $310 (for door, casing, and hanging hardware) for one pair of standard sliding/bypass closet doors. 
Standard-profile casings are included.</t>
  </si>
  <si>
    <t>Closet Bifold Door | Labor</t>
  </si>
  <si>
    <t>Labor to install a standard-sized bifold closet doors, up to two doors. Painting is excluded.</t>
  </si>
  <si>
    <t>Closet Bifold Door | Material</t>
  </si>
  <si>
    <t>Standard-sized unpainted MDF closet - bifold door material. 
Material allocation for door shall not exceed $310 (for door, casing, and hanging hardware) for one pair of standard sliding/bypass closet doors. 
Standard-profile casings are included.</t>
  </si>
  <si>
    <t>WINDOWS &amp; PATIO DOORS LABOR &amp; MATERIAL</t>
  </si>
  <si>
    <t>Solar Tubes | Labor &amp; Material</t>
  </si>
  <si>
    <t>Labor and material to install solar tubes. Material allocation shall not exceed $600/solar tube.</t>
  </si>
  <si>
    <t>Skylights | Labor &amp; Material</t>
  </si>
  <si>
    <t xml:space="preserve">Labor and material to install a skylight. Material allocation shall not exceed $700/skylight. </t>
  </si>
  <si>
    <t>Windows — Standard Size | Labor</t>
  </si>
  <si>
    <t>Labor to install one window and frame with new construction type framing. Window size shall not exceed 4'x4'. 
Stucco repair or replacement is excluded.</t>
  </si>
  <si>
    <t xml:space="preserve">Standard-sized Window | Material </t>
  </si>
  <si>
    <t>Standard-sized window material. Window size shall not exceed 4'x4'.  
Allocation for window material shall not exceed $250/window (after taxes, fees and delivery costs).</t>
  </si>
  <si>
    <t>Standard-sized Window | Material | Tempered glass</t>
  </si>
  <si>
    <t>Standard-sized window material. Window size shall not exceed 4'x4'.  
Allocation for window material shall not exceed $500/window (after taxes, fees and delivery costs).</t>
  </si>
  <si>
    <t>Windows - Oversized | Labor</t>
  </si>
  <si>
    <t>Labor to install one window and frame with new construction type framing. Window size shall not exceed 6'x6'. 
Surface restoration is excluded.</t>
  </si>
  <si>
    <t>Oversized Window | Material</t>
  </si>
  <si>
    <t>Oversized window material. Window size shall not exceed 6'x6'. 
Allocation for window material shall not exceed $350/window (after taxes, fees and delivery costs).</t>
  </si>
  <si>
    <t>Oversized Window | Material | Tempered glass</t>
  </si>
  <si>
    <t>Oversized window material. Window size shall not exceed 6'x6'. 
Allocation for window material shall not exceed $700/window (after taxes, fees and delivery costs).</t>
  </si>
  <si>
    <t xml:space="preserve">Patio Slider | Labor </t>
  </si>
  <si>
    <t xml:space="preserve">Labor to install a patio slider door. </t>
  </si>
  <si>
    <t>Patio Slider | Material</t>
  </si>
  <si>
    <t>Patio slider door material. Door size shall not exceed 6'x7'. 
Allocation for door material shall not exceed $800/door (after taxes, fees and delivery costs).</t>
  </si>
  <si>
    <t xml:space="preserve">Patio French | Labor </t>
  </si>
  <si>
    <t xml:space="preserve">Labor to install a patio french door. </t>
  </si>
  <si>
    <t>Patio French | Material</t>
  </si>
  <si>
    <t>Patio french door material. Door size shall not exceed 6'x7'. 
Allocation for door material shall not exceed $800/door (after taxes, fees and delivery costs).</t>
  </si>
  <si>
    <t>Accordion/Non Standard Size Door | Labor &amp; Material</t>
  </si>
  <si>
    <t xml:space="preserve">Currently excluded and subject to review upon getting a quote from a window company. </t>
  </si>
  <si>
    <t>INTERIOR SURFACE RESTORATION LABOR &amp; MATERIAL</t>
  </si>
  <si>
    <t>Insulation | Labor &amp; Rough Material</t>
  </si>
  <si>
    <t>W&amp;C SF</t>
  </si>
  <si>
    <t>если ADU меньше 500 sf - $5/SF
MIN - $1200</t>
  </si>
  <si>
    <t xml:space="preserve">Labor and material to install insulation per T24. Upgrades to insulation will be an additional cost. </t>
  </si>
  <si>
    <t>Insulation per engineering plans | Labor &amp; Rough Material</t>
  </si>
  <si>
    <t>Insulation (spray foam)</t>
  </si>
  <si>
    <t>Insulation (Blow in)</t>
  </si>
  <si>
    <t>Roof insulation (R19-38)</t>
  </si>
  <si>
    <t>Wall insulation (R15-19)</t>
  </si>
  <si>
    <t>Floor insulation (R15-19)</t>
  </si>
  <si>
    <t>Drywall | Labor &amp; Rough Material</t>
  </si>
  <si>
    <t>min - $1200</t>
  </si>
  <si>
    <t xml:space="preserve">Labor and material to hang drywall for the new walls and ceiling. </t>
  </si>
  <si>
    <t>Tape/Texture Standard | Labor &amp; Rough Material</t>
  </si>
  <si>
    <t>Labor and material to tape and texture walls and ceiling. Painting is excluded. Spray on orange peel or knockdown texture type (level 2,3,4,5, imperfect smooth or perfect smooth texture type is excluded)</t>
  </si>
  <si>
    <t>Tape/Texture Upgraded | Labor &amp; Rough Material</t>
  </si>
  <si>
    <t>Labor and material to tape and texture walls and ceiling. Level 2,3,4,5, imperfect smooth or perfect smooth texture type. Painting is excluded.</t>
  </si>
  <si>
    <t>Interior Paint (up to 8') | Labor &amp; Rough Material</t>
  </si>
  <si>
    <r>
      <rPr>
        <sz val="10"/>
        <color rgb="FFFF0000"/>
        <rFont val="Arial"/>
      </rPr>
      <t xml:space="preserve">From subcontractor:
</t>
    </r>
    <r>
      <rPr>
        <sz val="10"/>
        <color theme="1"/>
        <rFont val="Arial"/>
      </rPr>
      <t>Interior Paint Whole house or Part of the House ( For example Additional - Minton, Carpet,  etc): 
--- Empty house (Nobody leaves there) , 3 colors (1- baseboards and trims, door;2- Walls;3) Ceiling ); Ceiling height up to  8 FT; includes labor and paint)--$3.5 per sq f. by the flooring, not to the walls. For example- if we have a house  1500 sq f, then 1500 X$3,5=$5250
----If it is up to 12 Ft - $4.5 per sq f. by the flooring, not to the walls. For example- if we have a house  1500 sq f, then 1500 X$4,5=$6750
 ---- add every next color ( if it more than 3 colors)- plus $0.50 per sq f. 
---- If people live in a house, then add $ 1 per sq f.</t>
    </r>
  </si>
  <si>
    <t>Incudes walls, ceiling, baseboards and door trim, up to 3 colors or sheens with ceilings up to 8 feet height. Paint and primer are included. Door painting is included if needed. Material allocation shall not exceed $60 per gallon.</t>
  </si>
  <si>
    <t>Interior Paint (over 8') | Labor &amp; Rough Material</t>
  </si>
  <si>
    <t xml:space="preserve">Incudes walls, ceiling, baseboards and door trim, up to 3 colors or sheens with ceilings over 8 feet height. Paint and primer are included. Door painting is included if needed. </t>
  </si>
  <si>
    <t>Interior Paint | Touch Up | Labor</t>
  </si>
  <si>
    <t>Labor to touch up paint (per 8 square foot section) with homeonwer provided paint. Seams may be visible. The only way to avoid them is to paint the entire area instead of doing a touch up.</t>
  </si>
  <si>
    <t>Wainscotting | Labor &amp; Material</t>
  </si>
  <si>
    <t>min $400</t>
  </si>
  <si>
    <t>Labor and material to install wainscotting panels (up to 3'x4'). Allocation shall not exceed $1.40/SF. Staining and painting are excluded.</t>
  </si>
  <si>
    <t>Shiplap Walls | Labor &amp; Material</t>
  </si>
  <si>
    <t>min $500</t>
  </si>
  <si>
    <t>Labor and material to install shiplap panels on walls. Allocation shall not exceed $4/SF. Staining and painting are excluded.</t>
  </si>
  <si>
    <t>Shiplap Ceiling | Labor &amp; Material</t>
  </si>
  <si>
    <t>Labor and material to install shiplap panels on ceiling. Allocation shall not exceed $4/SF. Staining and painting are excluded.</t>
  </si>
  <si>
    <t xml:space="preserve">Fake Beam | Labor </t>
  </si>
  <si>
    <t xml:space="preserve">Labor to install one homeowner provided fake beam (up to 8 LF). </t>
  </si>
  <si>
    <t>EXTERIOR SURFACE RESTORATION LABOR &amp; MATERIAL</t>
  </si>
  <si>
    <t>Stucco | Labor &amp; Material</t>
  </si>
  <si>
    <t>Wall SF</t>
  </si>
  <si>
    <t>Labor and material to do stucco for the exterior walls. Best attempts will be made to match existing texture type. Standard stucco finishes. Perfect smooth or decorative finishes and colors are excluded. Painting is excluded.</t>
  </si>
  <si>
    <t>Siding Lap | Labor &amp; Material</t>
  </si>
  <si>
    <t>Labor and material to install painted lap siding. Solid wood, vinyl and metal siding is currently excluded from the price because it is a special order material. 
Material allocation shall not exceed $3.4/SF (for siding only, not including fixing systems and moldings).</t>
  </si>
  <si>
    <t>Stucco (Patch) | Labor &amp; Material</t>
  </si>
  <si>
    <t xml:space="preserve">Labor and material to repair exterior stucco, per 12SF section. Best attempts will be made to match existing texture type. Painting is excluded. </t>
  </si>
  <si>
    <t>Siding (Patch) | Labor &amp; Material</t>
  </si>
  <si>
    <t>Labor and material to repair exterior T1-11 siding after window frame in, per 12SF section. Solid wood, vinyl and metal siding is currently excluded from the price because it is a special order material.</t>
  </si>
  <si>
    <t>Stucco Trim | Labor &amp; Material</t>
  </si>
  <si>
    <t xml:space="preserve">Labor and material to install trim for a standard window (up to 4'x4'), an oversized window (up to 6'x6'), a standard door (up to 3'x6'), or a standard garage door (up to 9'x7'). </t>
  </si>
  <si>
    <t>Stone Veneer | Labor</t>
  </si>
  <si>
    <t>Labor to install stone veneer. Corner pieces installation is included.</t>
  </si>
  <si>
    <t>Stone Veneer | Material</t>
  </si>
  <si>
    <t xml:space="preserve">Material for stone veneer installation. Corner pieces are excuded and will be an additional fee, if chosen. Allocation shall not exceed $6/SF. </t>
  </si>
  <si>
    <t>Stone Veneer (Corner Pieces) | Material</t>
  </si>
  <si>
    <t xml:space="preserve">Material for corner piece installation. Size shall not exceed 6''x12''x6''. 
Allocation shall not exceed $15/piece. </t>
  </si>
  <si>
    <t>Exterior Paint | Labor &amp; Material</t>
  </si>
  <si>
    <r>
      <rPr>
        <sz val="10"/>
        <color rgb="FFFF0000"/>
        <rFont val="Arial"/>
      </rPr>
      <t xml:space="preserve">From our subcontractor:
</t>
    </r>
    <r>
      <rPr>
        <sz val="10"/>
        <color theme="1"/>
        <rFont val="Arial"/>
      </rPr>
      <t>Exterior painting -3 colors (1-  trims, fascia, Eaves;2- Walls); Ceiling height up to  8 FT; includes labor and paint)t- $3 per sq f. by the flooring, not to the walls. For example- if we have a house  1500 sq f, then 1500 X$3=$4500
---If it is up to 12 Ft - $4 per sq f. by the flooring, not to the walls. For example- if we have a house  1500 sq f, then 1500 X$4=$6000
----add every next color ( if it more than 3 colors)- plus $0.50 per sq f.</t>
    </r>
  </si>
  <si>
    <t>Labor and material do paint the exterior. Includes walls, trims, fascia and eaves. Paint is included. If not the entire house is painted, new paint may not match existing paint perfectly. Material allocation shall not exceed $60 per gallon.</t>
  </si>
  <si>
    <t>Exterior Paint (Patch)</t>
  </si>
  <si>
    <t>Labor to patch up to 8SF of exterior stucco/siding with homeowner provided paint. If the house is not painted from corner to corner there are may be color variation.</t>
  </si>
  <si>
    <t>FLOOR LABOR &amp; MATERIAL</t>
  </si>
  <si>
    <t>Floor Preparation | Labor</t>
  </si>
  <si>
    <t xml:space="preserve">Labor to repair existing subfloor. Grinding and leveling included. </t>
  </si>
  <si>
    <t>Heated Floor | Labor &amp; Rough Material</t>
  </si>
  <si>
    <t>min $2500</t>
  </si>
  <si>
    <t>Labor and material to install heated floor with thermostat under favorable site conditions, on clean, level subfloor. 
Allocation for heated floor system shall not exceed $800. 
Allocation for floor heating thermostat shall not exceed $220. Up to 50 SF.</t>
  </si>
  <si>
    <t>Tile Standard Layout | Labor</t>
  </si>
  <si>
    <t>For the new construction remove from "Best efforts" to  "replaced at an additional cost."</t>
  </si>
  <si>
    <t xml:space="preserve">Labor to install tile flooring on clean, level subfloor in a standard layout pattern for a standard-sized tile. Best efforts will be made to remove and reinstall existing baseboards (if necessary) but if baseboards are damaged then purchasing and reinstalling new baseboards will be an additional cost. 
Painting of baseboards and adjacent molding (such as door casings) modifications are excluded. 
Homeowner shall be responsible for clearing the working area of all furniture and personal items. 
If the floor is layered (there are multiple layers of flooring) it may result in door casings and trim no longer fitting (gap at the bottom, etc). If that happens, trim and mouldings can be replaced at an additional cost. 
Replacement or modification to any mouldings or trims are excluded. </t>
  </si>
  <si>
    <t>Tile Custom Layout | Labor</t>
  </si>
  <si>
    <t xml:space="preserve">Labor to install tile flooring on clean, level subfloor in a custom layout pattern for non-standard size tile. Best efforts will be made to remove and reinstall existing baseboards (if necessary) but if baseboards are damaged then purchasing and reinstalling new baseboards will be an additional cost. 
Painting of baseboards and adjacent molding (such as door casings) modifications are excluded. 
Homeowner shall be responsible for clearing the working area of all furniture and personal items. 
If the floor is layered (there are multiple layers of flooring) it may result in door casings and trim no longer fitting (gap at the bottom, etc). If that happens, trim and mouldings can be replaced at an additional cost. 
Replacement or modification to any mouldings or trims are excluded. </t>
  </si>
  <si>
    <t xml:space="preserve">Floor Tile | GREEN | Material </t>
  </si>
  <si>
    <t>Floor tile material (tile, grout, schluters).  Material allocations shall not exceed the following per unit of measure (after taxes and delivery) $6/SF. 
This estimate includes the square footage of tile needed for the area included in your project. In some cases, tile is only sold per box by the vendor and not per square foot/piece, in which case more tile will need to be purchased than needed for the project and that cost would be passed on to the homeowner. The exact square footage to be purchased will be determined based on the tile and vendor selected.</t>
  </si>
  <si>
    <t>Hardwood New | Labor</t>
  </si>
  <si>
    <t xml:space="preserve">Labor to install engineered hardwood floor on clean, level subfloor.  
Best efforts will be made to remove and reinstall existing baseboards (if necessary) but if baseboards are damaged then purchasing and reinstalling new baseboards will be an additional cost. 
Painting of baseboards and adjacent molding (such as door casings) modifications are excluded. 
Homeowner shall be responsible for clearing the working area of all furniture and personal items.
If the floor is layered (there are multiple layers of flooring) it may result in door casings and trim no longer fitting (gap at the bottom, etc). If that happens, trim and moulding can be replaced at an additional cost. 
Replacement or modification to any moulding or trims are excluded. </t>
  </si>
  <si>
    <t>Hardwood New | Material</t>
  </si>
  <si>
    <t>Hardwood material. Material allocation for hardwood flooring shall not exceed $6.9/SF (after taxes and delivery). 
Baseboard and transitions material is excluded. This estimate includes the square footage of hardwood needed for the area included in your project. 
In some cases, hardwood is only sold per box by the vendor and not per square foot/piece, in which case more hardwood will need to be purchased than needed for the project and that cost would be passed on to the homeowner. The exact square footage to be purchased will be determined based on the hardwood and vendor selected.</t>
  </si>
  <si>
    <t>LVP | Labor</t>
  </si>
  <si>
    <t>Labor to install LVP flooring on clean, level subfloor in a standard layout pattern for standard-sized planks. 
Best efforts will be made to remove and reinstall existing baseboards (if necessary) but if baseboards are damaged then purchasing and reinstalling new baseboards will be an additional cost. 
Painting of baseboards and adjacent molding (such as door casings) modifications are excluded. 
Homeowner shall be responsible for clearing the working area of all furniture and personal items. 
If the floor is layered (there are multiple layers of flooring) it may result in door casings and trim no longer fitting (gap at the bottom, etc). If that happens, trim and mouldings can be replaced at an additional cost. 
Replacement or modification to any mouldings or trims are excluded.</t>
  </si>
  <si>
    <t>LVP | Material</t>
  </si>
  <si>
    <t>Vinyl plank floor material. Material allocation shall not exceed $2.50/SF. If vendor prices increase, this price is subject to increase. 
Baseboard and transitions material is excluded. 
This estimate includes the square footage of lvp needed for the area included in your project. In some cases, lvp is only sold per box by the vendor and not per square foot/piece, in which case more lvp will need to be purchased than needed for the project and that cost would be passed on to the homeowner. The exact square footage to be purchased will be determined based on the lvp and vendor selected.</t>
  </si>
  <si>
    <t>LVT | Labor</t>
  </si>
  <si>
    <t>Labor to install LVT flooring on clean, level subfloor in a standard layout pattern for standard-sized tile. 
Best efforts will be made to remove and reinstall existing baseboards (if necessary) but if baseboards are damaged then purchasing and reinstalling new baseboards will be an additional cost. 
Painting of baseboards and adjacent molding (such as door casings) modifications are excluded. 
Homeowner shall be responsible for clearing the working area of all furniture and personal items. 
If the floor is layered (there are multiple layers of flooring) it may result in door casings and trim no longer fitting (gap at the bottom, etc). If that happens, trim and mouldings can be replaced at an additional cost. 
Replacement or modification to any mouldings or trims are excluded.</t>
  </si>
  <si>
    <t>LVT | Material</t>
  </si>
  <si>
    <t>Vinyl tile floor material. Material allocation shall not exceed $3.3/SF. If vendor prices increase, this price is subject to increase. 
Baseboard and transitions material is excluded.
This estimate includes the square footage of tile needed for the area included in your project. In some cases, tile is only sold per box by the vendor and not per square foot/piece, in which case more tile will need to be purchased than needed for the project and that cost would be passed on to the homeowner. The exact square footage to be purchased will be determined based on the tile and vendor selected.</t>
  </si>
  <si>
    <t>Laminate | Labor</t>
  </si>
  <si>
    <t>Labor to install laminate flooring on clean, level subfloor in a standard layout pattern. 
Best efforts will be made to remove and reinstall existing baseboards (if necessary) but if baseboards are damaged then purchasing and reinstalling new baseboards will be an additional cost. 
Painting of baseboards and adjacent molding (such as door casings) modifications are excluded. 
Homeowner shall be responsible for clearing the working area of all furniture and personal items. 
If the floor is layered (there are multiple layers of flooring) it may result in door casings and trim no longer fitting (gap at the bottom, etc). If that happens, trim and mouldings can be replaced at an additional cost. 
Replacement or modification to any mouldings or trims are excluded.</t>
  </si>
  <si>
    <t>Laminate | Material</t>
  </si>
  <si>
    <t>Laminate material. Material allocation for laminate flooring shall not exceed $2/SF (including underlayment, taxes, fees and shipping). 
Baseboard and transitions material is excluded. 
This estimate includes the square footage of laminate needed for the area included in your project. In some cases, laminate is only sold per box by the vendor and not per square foot/piece, in which case more laminate will need to be purchased than needed for the project and that cost would be passed on to the homeowner. The exact square footage to be purchased will be determined based on the laminate and vendor selected.</t>
  </si>
  <si>
    <t>Carpet | Labor</t>
  </si>
  <si>
    <t>Labor to install carpet flooring on clean, level subfloor in a standard layout pattern. 
Best efforts will be made to remove and reinstall existing baseboards (if necessary) but if baseboards are damaged then purchasing and reinstalling new baseboards will be an additional cost. 
Painting of baseboards and adjacent molding (such as door casings) modifications are excluded. 
Homeowner shall be responsible for clearing the working area of all furniture and personal items. 
If the floor is layered (there are multiple layers of flooring) it may result in door casings and trim no longer fitting (gap at the bottom, etc). If that happens, trim and mouldings can be replaced at an additional cost. 
Replacement or modification to any mouldings or trims are excluded.</t>
  </si>
  <si>
    <t>Carpet | Material</t>
  </si>
  <si>
    <t>Carpet material. Material allocation for carpet flooring shall not exceed $1.5/SF (including underlayment, taxes, fees and shipping).
Baseboard and transitions material is excluded.</t>
  </si>
  <si>
    <t>Crown Mouldings (not painted) | Labor</t>
  </si>
  <si>
    <t xml:space="preserve">Labor to install new standard profile crown moulding with favorable site conditions. 
Ceiling height shall not exceed 10 FT. </t>
  </si>
  <si>
    <t>Crown Mouldings (not painted) | Material</t>
  </si>
  <si>
    <t xml:space="preserve">Crown mouldings material. Material allocation for crown moulding shall not exceed $1.25/LF. 
Stacked crown mouldings are excluded.  </t>
  </si>
  <si>
    <t>Crown Mouldings (painted) | Labor</t>
  </si>
  <si>
    <t xml:space="preserve">Labor to install and paint new standard profile crown moulding with favorable site conditions. 
Ceiling height is shall not exceed 10 FT. </t>
  </si>
  <si>
    <t>Crown Mouldings (painted) | Material</t>
  </si>
  <si>
    <t>Crown molding material. Material allocation shall not exceed $1.7/one crown molding.</t>
  </si>
  <si>
    <t>BASEBOARDS LABOR &amp; MATERIAL</t>
  </si>
  <si>
    <t>Baseboards (not painted) | Labor</t>
  </si>
  <si>
    <t xml:space="preserve">Labor to install new standard profile baseboard. Baseboard profile and height to be selected during design phase. 
Stacked, tile or non-standard baseboards are excluded. </t>
  </si>
  <si>
    <t>Baseboards (not painted) | Material</t>
  </si>
  <si>
    <t>Not painted baseboard material. Material allocation shall not exceed $1/LF.</t>
  </si>
  <si>
    <t>Baseboards (painted) | Labor</t>
  </si>
  <si>
    <t xml:space="preserve">Labor to install and paint new standard profile baseboard. Baseboard profile and height to be selected during design phase. 
Stacked, tile or non-standard baseboards are excluded. </t>
  </si>
  <si>
    <t>Baseboards (painted) | Material</t>
  </si>
  <si>
    <t>Painted baseboard material. Material allocation shall not exceed $1.7/LF.</t>
  </si>
  <si>
    <t xml:space="preserve">KITCHEN </t>
  </si>
  <si>
    <t>CABINETS LABOR &amp; MATERIAL</t>
  </si>
  <si>
    <t>Cabinets | Labor</t>
  </si>
  <si>
    <t xml:space="preserve">Labor to install stock cabinets. Level and secure cabinet to wall. Assemble and install drawers and hardware. Basic vacuuming of debris is included. Cleaning or wiping the cabinets on the inside/outside is excluded. Labor to install light moulding and cover up under cabinets is excluded but can be added for an additional cost. </t>
  </si>
  <si>
    <t xml:space="preserve">Cabinets | GREEN | Material </t>
  </si>
  <si>
    <r>
      <rPr>
        <sz val="9"/>
        <color rgb="FF999999"/>
        <rFont val="Arial"/>
      </rPr>
      <t>Stock cabinets.</t>
    </r>
    <r>
      <rPr>
        <b/>
        <sz val="9"/>
        <color rgb="FF999999"/>
        <rFont val="Arial"/>
      </rPr>
      <t xml:space="preserve"> </t>
    </r>
    <r>
      <rPr>
        <sz val="9"/>
        <color rgb="FF999999"/>
        <rFont val="Arial"/>
      </rPr>
      <t xml:space="preserve">Solid wood doors, plywood boxes. Soft closing drawers and drawers. Dovetailed boxes. Allocation for material shall not exceed $160/LF. </t>
    </r>
  </si>
  <si>
    <t>Cabinet Pulls/Knobs | Material</t>
  </si>
  <si>
    <t>Chelsey 4 in. center-to-center polished nickel drawer pull. Material allocation shall not exceed $3 per one pull.</t>
  </si>
  <si>
    <t>Cabinets | Custom | Material</t>
  </si>
  <si>
    <t>Maple cabinet boxes with plywood and wooden doors. Cabinet drawers are dovetailed and tongue and groove joints, full extension, self and soft closing drawers, under-mount drawer slides, and soft closing hinges. Organizers will be an additional cost. 
Final cabinet price will be subject to an actual quote from a vendor and is dependent on wood, door and drawer style, cabinet style, paint/stain, and sizes.</t>
  </si>
  <si>
    <t>Modify Cabinet Upgrade | Labor</t>
  </si>
  <si>
    <t>Labor to modify cabinet (modify height or depth) using stock cabinetry. Cabinet material for modifcation is excluded.</t>
  </si>
  <si>
    <t>Base Cabinet Modification | GREEN | Material</t>
  </si>
  <si>
    <t>Material to modify the height or depth of stock cabinets. Material only, labor is excluded. Soft closing rails for drawers are included if modifying a drawer cabinet. 
Final cabinet price will be subject to an actual quote from a vendor.</t>
  </si>
  <si>
    <t>Base Cabinet Modification | YELLOW | Material</t>
  </si>
  <si>
    <t>Wall Cabinet/Pantry Modification | GREEN | Material</t>
  </si>
  <si>
    <t>Wall Cabinet/Pantry Modification | YELLOW | Material</t>
  </si>
  <si>
    <t>Glass Door Upgrade | Standard Glass | Labor</t>
  </si>
  <si>
    <t xml:space="preserve">Labor to upgrade standard stock cabinet doors to include basic glass panel. </t>
  </si>
  <si>
    <t>Glass Door Upgrade | Standard Glass | Material</t>
  </si>
  <si>
    <t xml:space="preserve">Standard stock cabinet doors with basic glass panel material. Material allocation shall not exceed $95/door. Non-beveled and see through glass only. Grids, obscured glass or decorative glass excluded. 
Final price will be subject to an actual quote from a vendor. </t>
  </si>
  <si>
    <t>Glass Door Upgrade | Custom Glass | Labor</t>
  </si>
  <si>
    <t>Labor to upgrade standard stock cabinet doors to include custom glass panel.</t>
  </si>
  <si>
    <t>Glass Door Upgrade | Custom Glass | Material</t>
  </si>
  <si>
    <t>Standard stock cabinet doors with custom glass panel material. Material allocation shall not exceed $200/door. Final price will be subject to an actual quote from a vendor. 
The price may increase or decrease based on the final selection of the homeowner.</t>
  </si>
  <si>
    <t>Fake Door Panel Installation | Labor</t>
  </si>
  <si>
    <t>Labor to install one fake door. Material is excluded.</t>
  </si>
  <si>
    <t>Fake Door Panel Installation | Material</t>
  </si>
  <si>
    <t>Material to install fake door panels. Material allocation shall not exceed $100/fake door.</t>
  </si>
  <si>
    <t>BACKSPLASH  LABOR &amp; MATERIAL</t>
  </si>
  <si>
    <t>Backsplash Standard Layout | Labor</t>
  </si>
  <si>
    <t>Labor to prepare backsplash surface for tile material and install backsplash. Mosaic or individual tile backsplash in a standard layout (offset or stacked). Custom layouts are excluded (such as herringbone patterns, custom liners or laying individual tiles in a custom pattern). Tile and schluters are excluded.</t>
  </si>
  <si>
    <t>Backsplash Custom Layout | Labor</t>
  </si>
  <si>
    <t>Labor to prepare backsplash surface for tile material and install backsplash. Lay backsplash in a custom layout (such as herring bone or custom liners or medallions). Tile and schluters are excluded.</t>
  </si>
  <si>
    <t>Backsplash | GREEN | Material</t>
  </si>
  <si>
    <t>Backsplash material (tile, grout, schluters). Non-schluter edge trims (like jolly sticks, pencil trim, chair rails, etc) are excluded and will be an additional cost. Material allocation for backsplash shall not exceed $6/SF. 
This estimate includes the square footage of tile needed for the area included in your project. In some cases, tile is only sold per box by the vendor and not per square foot/piece, in which case more tile will need to be purchased than needed for the project and that cost would be passed on to the homeowner. The exact square footage to be purchased will be determined based on the tile and vendor selected.</t>
  </si>
  <si>
    <t>Backsplash | YELLOW | Material</t>
  </si>
  <si>
    <t>Backsplash material (tile, grout, schluters). Non-schluter edge trims (like jolly sticks, pencil trim, chair rails, etc) are excluded and will be an additional cost. Material allocation for backsplash shall not exceed $15/SF. 
This estimate includes the square footage of tile needed for the area included in your project. In some cases, tile is only sold per box by the vendor and not per square foot/piece, in which case more tile will need to be purchased than needed for the project and that cost would be passed on to the homeowner. The exact square footage to be purchased will be determined based on the tile and vendor selected.</t>
  </si>
  <si>
    <t>Countertop Material Backsplash | Labor</t>
  </si>
  <si>
    <t>Labor to install prefabricated slabs on walls. 45 degree mitered, waterfall, OGEE, 3CM edges are excluded.</t>
  </si>
  <si>
    <t>Countertop | Pre Fabricated | Splash Piece 4-7'' | Material</t>
  </si>
  <si>
    <t>Splash Piece material 4-7''. Material allocation shall not exceed $150/piece (after taxes and fees).</t>
  </si>
  <si>
    <t>COUNTERTOPS LABOR &amp; MATERIAL</t>
  </si>
  <si>
    <t>Countertop | Labor</t>
  </si>
  <si>
    <t>min - $1000
если объем больше 
70sf -$22.5/sf for 
countertop labor</t>
  </si>
  <si>
    <t>Labor to install prefabricated countertops with standard eased edge. 45 degree mitered, waterfall, OGEE, 3CM edges are excluded.</t>
  </si>
  <si>
    <t>Sink/Cooktop Cutout 2CM | Kitchen | Labor</t>
  </si>
  <si>
    <t>Labor for one sink/cooktop cut out in a 2CM countertop. Includes sink, faucet and air gap cutouts.</t>
  </si>
  <si>
    <t>Sink/Cooktop Cutout 3CM | Kitchen | Labor</t>
  </si>
  <si>
    <t>Labor for one sink/cooktop cut out in a 3CM countertop. Includes sink, faucet and air gap cutouts.</t>
  </si>
  <si>
    <t>Countertop 26'' | Pre Fabricated | Material</t>
  </si>
  <si>
    <t>Prefabricated countertop material with standard eased edge (26''x96'' piece). Material allocation shall not exceed $500/slab (after taxes and fees) for perimeter pieces. For island pieces depending on the size.</t>
  </si>
  <si>
    <t>Countertop Island 36'' | Pre Fabricated | Material</t>
  </si>
  <si>
    <t>36'' prefabricated countertop island material with standard eased edge. Material allocation shall not exceed $650/slab (after taxes and fees) for perimeter pieces. For island pieces depending on the size.</t>
  </si>
  <si>
    <t>Countertop Island 42'' | Pre Fabricated | Material</t>
  </si>
  <si>
    <t>42'' prefabricated countertop island material with standard eased edge. Material allocation shall not exceed $850/slab (after taxes and fees) for perimeter pieces. For island pieces depending on the size.</t>
  </si>
  <si>
    <t>Countertop Island 52'' | Pre Fabricated | Material</t>
  </si>
  <si>
    <t>52'' prefabricated countertop island material with standard eased edge. Material allocation shall not exceed $1,000/slab (after taxes and fees) for perimeter pieces. For island pieces depending on the size.</t>
  </si>
  <si>
    <t>Edge Lamination | Pre Fabricated | Labor</t>
  </si>
  <si>
    <t>Labor to laminate a pre fabricated slab edge (after cutting it to size). Edge to match the prefabricated edge. All cut edges will be polished and lamination is not necessary but can be added if needed.</t>
  </si>
  <si>
    <t>Edge Lamination | Custom Upgrade | Labor</t>
  </si>
  <si>
    <t>Labor to upgrade edge lamination on 2CM slab to a custom edge. Eased edge and miter cut.</t>
  </si>
  <si>
    <t>SHELVES LABOR &amp; MATERIAL</t>
  </si>
  <si>
    <t>Floating Shelf Installation Non-Custom | Labor</t>
  </si>
  <si>
    <t>Labor to install one non-custom floating shelf (up to 36”x10”).</t>
  </si>
  <si>
    <t>Floating Shelf Non-Custom | Material</t>
  </si>
  <si>
    <t>Material to install one non-custom floating shelf (up to 36”x10”). Allocation shall not exceed $100/shelf.</t>
  </si>
  <si>
    <t>Floating Shelf Installation Custom | Labor</t>
  </si>
  <si>
    <t>Floating Shelf Custom | Material</t>
  </si>
  <si>
    <t>Material to install one custom floating shelf (up to 36”x10”). Allocation shall not exceed $300/shelf.</t>
  </si>
  <si>
    <t>Pantry Shelving | Labor</t>
  </si>
  <si>
    <t xml:space="preserve">Labor to install one non-custom MDF pantry shelf  (up to 16'' deep x 120'' long). </t>
  </si>
  <si>
    <t>Pantry Shelving | Material</t>
  </si>
  <si>
    <t xml:space="preserve">Material to install one non-custom MDF pantry shelf  (up to 16'' deep x 120'' long). Allocation shall not exceed $100/shelf. </t>
  </si>
  <si>
    <t>APPLIANCES LABOR &amp; MATERIAL</t>
  </si>
  <si>
    <t>Appliances Installation | Dishwasher | Labor</t>
  </si>
  <si>
    <t>Labor to install one new dishwasher. Connect to existing utilities.
Hoses for appliances are to be provided by homeowner. 
Post hookup assembly and packing film removal are excluded. Any and all wall, plumbing, electrical or venting ventilation modifications are excluded. Appliances are excluded.</t>
  </si>
  <si>
    <t>Appliances Installation | Dishwasher | Material</t>
  </si>
  <si>
    <t>24 in. Stainless steel built-In dishwasher, 60 dBA. Material allocation shall not exceed $500 per appliance.</t>
  </si>
  <si>
    <t>Appliances Installation | Drop In/Apron Front Cooktop | Labor</t>
  </si>
  <si>
    <t>Labor to install one new drop in or apron from cooktop (30" wide). Connect appliance to existing utilities.
Hoses for appliances are to be provided by homeowner.
Post hookup assembly and packing film removal are excluded. Any and all wall, plumbing, electrical or venting ventilation modifications are excluded. Appliances are excluded.</t>
  </si>
  <si>
    <t xml:space="preserve">Appliances Installation | Drop In/Apron Front Cooktop | Material </t>
  </si>
  <si>
    <t>30 in. Radiant electric cooktop. Material allocation shall not exceed $750 per appliance.</t>
  </si>
  <si>
    <t>Appliances Installation | Slide in Range | Labor</t>
  </si>
  <si>
    <t>Labor to install one new slide in range (up to 36" wide). Connect appliance to existing utilities. 
Hoses for appliances are to be provided by homeowner. 
Post hookup assembly and packing film removal are excluded. Any and all wall, plumbing, electrical or venting ventilation modifications are excluded. Appliances are excluded.</t>
  </si>
  <si>
    <t>Appliances Installation | Slide in Range | Material</t>
  </si>
  <si>
    <t>4.8 cu. ft. Electric range in stainless steel. Material allocation shall not exceed $750 per appliance.</t>
  </si>
  <si>
    <t>Appliances Installation | Standard Fridge | Labor</t>
  </si>
  <si>
    <t>Labor to install one new standard size fridge (up to 36" width and 72" height) to existing utilities. 
Hoses for appliances are to be provided by homeowner. 
Post hookup assembly and packing film removal are excluded. Any and all wall, plumbing, electrical or venting ventilation modifications are excluded. Appliances are excluded.</t>
  </si>
  <si>
    <t>Appliances Installation | Standard Fridge | Material</t>
  </si>
  <si>
    <t>25 cu. ft. Refrigerator in stainless steel. Material allocation shall not exceed $1600 per appliance.</t>
  </si>
  <si>
    <t>Appliances Installation | Hood | Microwave | Labor</t>
  </si>
  <si>
    <t>Labor to install one new microwave range hood and hook up to existing duct work and electrical. 
Hoses for appliances are to be provided by homeowner. 
Post hookup assembly and packing film removal are excluded. Any and all wall, plumbing, electrical or venting ventilation modifications are excluded. Appliances are excluded.</t>
  </si>
  <si>
    <t>Appliances Installation | Hood | Microwave | Material</t>
  </si>
  <si>
    <t>1.6 cu. ft. Over the range microwave in stainless steel. Material allocation shall not exceed $300 per appliance.</t>
  </si>
  <si>
    <t>Appliances Installation | Hood | Wall Chimney | Labor</t>
  </si>
  <si>
    <t>Labor to install one new wall chimney range hood and hook up to existing duct work and electrical. 
Hoses for appliances are to be provided by homeowner. 
Post hookup assembly and packing film removal are excluded. Any and all wall, plumbing, electrical or venting ventilation modifications are excluded. Appliances are excluded.</t>
  </si>
  <si>
    <t>Appliances Installation | Hood | Wall Chimney | Material</t>
  </si>
  <si>
    <t>30 in. Wall mount range hood in stainless steel with mesh filters, charcoal filters and push button control. Material allocation shall not exceed $250 per appliance.</t>
  </si>
  <si>
    <t>Appliances Installation | Hood | In Cabinet Insert | Labor</t>
  </si>
  <si>
    <t>Labor to install one homeowner provided under cabinet hood to existing duct work and electrical.
Hoses for appliances are to be provided by homeowner. 
Post hookup assembly and packing film removal are excluded. Any and all wall, plumbing, electrical or venting ventilation modifications are excluded. Appliances are excluded.</t>
  </si>
  <si>
    <t>Appliances Installation | Hood | Island | Labor</t>
  </si>
  <si>
    <t>Labor to install one homeowner provided island hood and hook up to existing duct work and electrical. 
Hoses for appliances are to be provided by homeowner. 
Post hookup assembly and packing film removal are excluded. Any and all wall, plumbing, electrical or venting ventilation modifications are excluded. Appliances are excluded.</t>
  </si>
  <si>
    <t>Appliances Installation | Hood | Ceiling Flushed | Labor</t>
  </si>
  <si>
    <t>Labor to install one homeowner provided ceiling flush range hood and hook up to existing duct work and electrical. Ceiling reframing and repairs are excluded. 
Hoses for appliances are to be provided by homeowner. 
Post hookup assembly and packing film removal are excluded. Any and all wall, plumbing, electrical or venting ventilation modifications are excluded. Appliances are excluded.</t>
  </si>
  <si>
    <t>Appliances Installation | Hood | Downdraft | Labor</t>
  </si>
  <si>
    <t>Labor to install one homeowner provided down draft range vent and hook up to existing duct work and electrical. 
Hoses for appliances are to be provided by homeowner. 
Post hookup assembly and packing film removal are excluded. Any and all wall, plumbing, electrical or venting ventilation modifications are excluded. Appliances are excluded.</t>
  </si>
  <si>
    <t>Appliances Installation | Single Unit Double Oven/Microwave Oven Combo | Labor</t>
  </si>
  <si>
    <t>Labor to install one new homeowner provided single unit double oven or single unit microwave and oven combo. Connect appliance to existing utilities. 
Hoses for appliances are to be provided by homeowner. 
Post hookup assembly and packing film removal are excluded. Any and all wall, plumbing, electrical or venting ventilation modifications are excluded. Appliances are excluded.</t>
  </si>
  <si>
    <t>Appliances Installation | Custom Appliances | Oversized | Labor</t>
  </si>
  <si>
    <t>Labor to install one special/custom appliances (Sub Zero Refrigerators, Oversized Stove, Oversized Hood, etc). Connect appliances to existing utilities. 
Hoses for appliances are to be provided by homeowner. 
Post hookup assembly and packing film removal are excluded. Any and all wall, plumbing, electrical or venting ventilation modifications are excluded. Appliances are excluded.</t>
  </si>
  <si>
    <t>Appliances Installation | Custom Appliances | Small | Labor</t>
  </si>
  <si>
    <t>Labor to install one special/custom appliances (Instant Hot Water Disposal, Water Filtration System, Wine Fridge, Mini Fridge, Trash Compactor, ect). Connect appliances to existing utilities. 
Hoses for appliances are to be provided by homeowner. 
Post hookup assembly and packing film removal are excluded. Any and all wall, plumbing, electrical or venting ventilation modifications are excluded. Appliances are excluded.</t>
  </si>
  <si>
    <t>Appliances Installation | Microwave | Material</t>
  </si>
  <si>
    <t>24 in. Width 2.0 cu.ft. stainless steel countertop microwave. Material allocation shall not exceed $250 per appliance.</t>
  </si>
  <si>
    <t>Appliances Installation | Ice maker | Material</t>
  </si>
  <si>
    <t>Portable Ice maker in stainless steel. Material allocation shall not exceed $600 per appliance.</t>
  </si>
  <si>
    <t>Appliances Installation | Trash Compactor | Material</t>
  </si>
  <si>
    <t>15 in. Built-In Trash Compactor in Stainless Steel. Material allocation shall not exceed $1485 per appliance.</t>
  </si>
  <si>
    <t>Appliances Installation | Wine fridge | Material</t>
  </si>
  <si>
    <t>23.4 in. W 50-Bottle Wine Cooler in Stainless Steel. Material allocation shall not exceed $440 per appliance.</t>
  </si>
  <si>
    <t>BATHROOM 1 LABOR &amp; MATERIAL</t>
  </si>
  <si>
    <t>VANITY LABOR &amp; MATERIAL</t>
  </si>
  <si>
    <t>Vanity Homeowner Provided | Labor</t>
  </si>
  <si>
    <t>Labor to install one single sink homeowner provided vanity (not to exceed 5 LF). Single unit cabinet, countertop, sink and faucet. Assemble and install drawers and hardware. Basic vacuuming of debris is included. Cleaning or wiping the cabinets on the inside/outside is excluded. Labor to install light moulding and cover up under cabinets is excluded but can be added for an additional cost.</t>
  </si>
  <si>
    <t>Vanity Pre-fabricated | Labor and material | Single Sink</t>
  </si>
  <si>
    <t>Labor and material to install one single sink pre-assebled vanity (not to exceed 5 LF). Material allocation shall not exeed $400 per vanity.
Assemble and install drawers and hardware. Basic vacuuming of debris is included. Cleaning or wiping the cabinets on the inside/outside is excluded. Labor to install light moulding and cover up under cabinets is excluded but can be added for an additional cost.</t>
  </si>
  <si>
    <t>Vanity Pre-Fabricated | Labor and material | Double Sink</t>
  </si>
  <si>
    <t>Labor and material to install double-sink pre-assebled vanity (not to exceed 8 LF). Double unit cabinet and countertop with sink cutouts. Material allocation shall not exeed $1200 per vanity.
Assemble and install drawers and hardware only. Basic vacuuming of debris is included. Cleaning or wiping the cabinets on the inside/outside is excluded. Labor to install light moulding and cover up under cabinets is excluded but can be added for an additional cost.</t>
  </si>
  <si>
    <t>Labor to install stock cabinets. Level and secure cabinet to wall. Assemble and install drawers and hardware. Basic vacuuming of debris is included. Cleaning or wiping the cabinets on the inside/outside is excluded. Labor to install light moulding and cover up under cabinets is excluded but can be added for an additional cost.</t>
  </si>
  <si>
    <t>Vanity Cabinet | GREEN | Material</t>
  </si>
  <si>
    <t>Stock cabinets. Solid wood doors, plywood boxes. Soft closing drawers and drawers. Dovetailed boxes. Material allocation shall not exceed $160/LF.</t>
  </si>
  <si>
    <t>Vanity Pulls/Knobs | Material</t>
  </si>
  <si>
    <t>For the tile backsplash only. Min $300</t>
  </si>
  <si>
    <t>Labor to prepare backsplash surface for tile material and install backsplash. Mosaic or individual tile backsplash in a standard layout (offset or stacked). 
Custom layouts are excluded (such as herringbone patterns, custom liners or laying individual tiles in a custom pattern). Tile and schluters are excluded.</t>
  </si>
  <si>
    <r>
      <rPr>
        <sz val="10"/>
        <color theme="1"/>
        <rFont val="Arial"/>
      </rPr>
      <t xml:space="preserve">For the tile backsplash only. Min $350
</t>
    </r>
    <r>
      <rPr>
        <sz val="10"/>
        <color rgb="FFFF0000"/>
        <rFont val="Arial"/>
      </rPr>
      <t>THIS IS LABOR, MATERIAL BELOW</t>
    </r>
  </si>
  <si>
    <t>For the tile backsplash only. Min according to box of tile. Try to find out the price and sf of one box.</t>
  </si>
  <si>
    <t>Countertop | Labor | Countertop</t>
  </si>
  <si>
    <t>Sink Cutout 2CM | Bathroom | Labor</t>
  </si>
  <si>
    <t>Labor for one sink cut out in a 2CM countertop.</t>
  </si>
  <si>
    <t xml:space="preserve">SHOWER/TUB ENCLOSURE LABOR &amp; MATERIAL </t>
  </si>
  <si>
    <t>Shower/Tub Wall Preparation | Labor &amp; Rough Material</t>
  </si>
  <si>
    <t>Labor and rough material to prepare shower/tub walls (75-80 square feet) for material installation. Finishing materials (such as tile, grout and schluters, quartz wall material) are excluded.</t>
  </si>
  <si>
    <t>Shower Pan Preparation | Labor &amp; Rough Material</t>
  </si>
  <si>
    <t>Labor and rough material to prepare shower pan (10-15 square feet) for material installation. Finishing materials (such as tile, grout and schluters) are excluded.</t>
  </si>
  <si>
    <t>Wall Tile Walls Standard Layout | Labor</t>
  </si>
  <si>
    <t>Min $1400</t>
  </si>
  <si>
    <t>Labor to prepare wall surface for tile material and install wall tile. Mosaic or individual tile in a standard layout (offset or stacked). 
Custom layouts are excluded (such as herringbone patterns, custom liners or laying individual tiles in a custom pattern). Tile and schluters are excluded.</t>
  </si>
  <si>
    <t>Wall Tile Walls Custom Layout | Labor</t>
  </si>
  <si>
    <r>
      <rPr>
        <sz val="10"/>
        <color theme="1"/>
        <rFont val="Arial"/>
      </rPr>
      <t xml:space="preserve">Min $2000
</t>
    </r>
    <r>
      <rPr>
        <sz val="10"/>
        <color rgb="FFFF0000"/>
        <rFont val="Arial"/>
      </rPr>
      <t>THIS IS LABOR, MATERIAL BELOW</t>
    </r>
  </si>
  <si>
    <t>Labor to prepare wall surface for tile material and install wall tile. Lay tile in a custom layout (such as herring bone or custom liners or medallions). Tile and schluters are excluded.</t>
  </si>
  <si>
    <t>Tile | GREEN | Material</t>
  </si>
  <si>
    <t>Shower wall tile material (tile, grout, schluters). Material allocations shall not exceed the following per unit of measure (after taxes and delivery) $6/SF. 
This estimate includes the square footage of tile needed for the area included in your project. In some cases, tile is only sold per box by the vendor and not per square foot/piece, in which case more tile will need to be purchased than needed for the project and that cost would be passed on to the homeowner. The exact square footage to be purchased will be determined based on the tile and vendor selected.</t>
  </si>
  <si>
    <t>Tile Pan Standard Layout | Labor</t>
  </si>
  <si>
    <t>Min $350</t>
  </si>
  <si>
    <t>Labor to prepare floor surface for tile material and install shower pan tile. Mosaic or individual tile in a standard layout (offset or stacked). 
Custom layouts are excluded (such as herringbone patterns, custom liners or laying individual tiles in a custom pattern). Tile and schluters are excluded.</t>
  </si>
  <si>
    <t>Tile Pan Custom Layout | Labor</t>
  </si>
  <si>
    <r>
      <rPr>
        <sz val="10"/>
        <color theme="1"/>
        <rFont val="Arial"/>
      </rPr>
      <t xml:space="preserve">Min $800
</t>
    </r>
    <r>
      <rPr>
        <sz val="10"/>
        <color rgb="FFFF0000"/>
        <rFont val="Arial"/>
      </rPr>
      <t>THIS IS LABOR, MATERIAL BELOW</t>
    </r>
  </si>
  <si>
    <t>Labor to prepare floor surface for tile material and install shower pan tile. Lay tile in a custom layout (such as herring bone or custom liners or medallions). Tile and schluters are excluded.</t>
  </si>
  <si>
    <t>Shower Pan Tile | YELLOW | Material</t>
  </si>
  <si>
    <t>Min according to box of tile. Try to find out the price and sf of one box.
Count w/o minimums if there is more than 12sf</t>
  </si>
  <si>
    <t>Shower pan tile material (tile, grout, schluters). Material allocations shall not exceed the following per unit of measure (after taxes and delivery) $15/SF. 
This estimate includes the square footage of tile needed for the area included in your project. In some cases, tile is only sold per box by the vendor and not per square foot/piece, in which case more tile will need to be purchased than needed for the project and that cost would be passed on to the homeowner. The exact square footage to be purchased will be determined based on the tile and vendor selected.</t>
  </si>
  <si>
    <t>Prefabricated Quartz Tub/Shower Surrounds Installation | Labor</t>
  </si>
  <si>
    <t>Labor to install a standard prefabricated shower surround (quartz) on 2-3 shower walls under favorable conditions. Modifications to panels are excluded unless there are some listed in this estimate. Slabs are excluded. Reframing, patching, and any work outside of the installation of the panels are excluded. Custom quartz wall fabrication and installation is excluded.</t>
  </si>
  <si>
    <t>Prefabricated Quartz Tub/Shower Surrounds | Material</t>
  </si>
  <si>
    <t>Standard prefabricated shower surround set (artificial stone) on 3 shower walls. Size shall not exceed 60''x72'' and 36''x72''. Material allocation shall not exceed $500/set of 3 panels (after taxes, fees and delivery costs).</t>
  </si>
  <si>
    <t>Custom Quartz Tub/Shower Surrounds Installation | Labor</t>
  </si>
  <si>
    <t>Labor to fabricate and install custom shower surrounds (quartz) on 2-3 shower walls under favorable conditions. Slabs are excluded. Reframing, patching, and any work outside of the installation of the panels are excluded. If panels are too big to be carried inside the bathroom, they will be cut into two pieces and installed with a seam.</t>
  </si>
  <si>
    <t>Prefabricated Quartz Tub/Shower Surrounds Modification | Shower Niche | Labor</t>
  </si>
  <si>
    <t xml:space="preserve">Labor to fabricate one niche for prefabricated shower/tub wall panels. Quartz material and niche material are excluded. </t>
  </si>
  <si>
    <t>Prefabricated Quartz Tub/Shower Surrounds Modification | Shower Shelf | Labor</t>
  </si>
  <si>
    <t xml:space="preserve">Labor to install a shelf for prefabricated shower/tub wall panels. Quartz material is excluded. </t>
  </si>
  <si>
    <t>Prefabricated Quartz Tub/Shower Surrounds Modification | Window Cutout</t>
  </si>
  <si>
    <t xml:space="preserve">Labor to fabricate one window cutout for prefabricated shower/tub wall panels. Quartz material is excluded. </t>
  </si>
  <si>
    <t>Prefabricated Quartz Tub/Shower Surrounds | Niche/Shelf | Material</t>
  </si>
  <si>
    <t>Standard prefabricated shower surround panel (artificial stone). Size shall not exceed 36''x72''. Material allocation shall not exceed $305/panel (after taxes, fees and delivery costs).</t>
  </si>
  <si>
    <t>Second Story Quartz Panels Upgrade | Labor</t>
  </si>
  <si>
    <t>Labor to transfer quartz panels for shower or tub to a second story bathroom. Quartz panels excluded.</t>
  </si>
  <si>
    <t>Acrylic Shower/Tub Surround Installation | Labor</t>
  </si>
  <si>
    <t>Install a homeowner purchased standard-sized acrylic enclosure (up to 3 panels).</t>
  </si>
  <si>
    <t>Acrylic Shower/Tub Surround | Material</t>
  </si>
  <si>
    <t>Standard acrylic shower surround set on 3 shower walls. Size shall not exceed 60''x72'' and 36''x72''. Material allocation shall not exceed $500 (after taxes, fees and delivery costs) per set of 3 panels.</t>
  </si>
  <si>
    <t>Acrylic Shower Pan Installation | Labor</t>
  </si>
  <si>
    <t>Install a homeowner purchased standard-sized acrylic pan. Drain modifications or relocations are excluded.</t>
  </si>
  <si>
    <t>Acrylic Shower Pan | Material</t>
  </si>
  <si>
    <t>Size shall not exceed 60''x36''. Material allocation shall not exceed $350 (after taxes, fees and delivery costs) per pan.</t>
  </si>
  <si>
    <t>Glass Shower Door | Labor</t>
  </si>
  <si>
    <t>Labor and to install one standard pivot glass shower door and one side panel (opening shall not exceed 5 LF) with standard chrome hardware.</t>
  </si>
  <si>
    <t>Glass Shower Door | Material</t>
  </si>
  <si>
    <t xml:space="preserve">Standard pivot glass shower door and one side panel material. Allocation for door shall not exceed $700/door set. </t>
  </si>
  <si>
    <t>Glass Shower Panel | Labor</t>
  </si>
  <si>
    <t xml:space="preserve">Labor to install a glass panel for glass shower door, up to 4 LF. </t>
  </si>
  <si>
    <t>Glass Shower Panel | Material</t>
  </si>
  <si>
    <t xml:space="preserve">Glass panel material, up to 4 LF. Glass thickness 3/8", standard chrome hardware. Allocation for panel shall not exceed $400/panel. </t>
  </si>
  <si>
    <t>ACCESSORIES LABOR &amp; MATERIAL</t>
  </si>
  <si>
    <t>Bathroom Accessories | Labor</t>
  </si>
  <si>
    <t>Labor to install new bathroom accessories, up to 7 accessories (e.g. bathroom mirror, toilet paper holder, towel bar, towel hooks, etc.). Wall alterations are excluded (e.g.medicine cabinet, etc.).</t>
  </si>
  <si>
    <t>Bathroom Accessories | Material</t>
  </si>
  <si>
    <t>6-Piece wall mount stainless steel set. Material allocation shall not exceed $90 per set.</t>
  </si>
  <si>
    <t>Vanity Mirror | Material</t>
  </si>
  <si>
    <t>24 in. x 31 in. single framed vanity mirror in white. Material allocation shall not exceed $110 per mirror.</t>
  </si>
  <si>
    <t>Grab Bar Installation | Labor</t>
  </si>
  <si>
    <t xml:space="preserve">Labor to install one new grab bar in shower/tub enclosure. </t>
  </si>
  <si>
    <t>Grab Bar Installation | Material</t>
  </si>
  <si>
    <t>24 in. x 1-1/4 in. concealed screw ADA-compliant grab bar. Material allocation shall not exceed $65 per grab bar.</t>
  </si>
  <si>
    <t>Medicine Cabinet | Labor</t>
  </si>
  <si>
    <t>Labor to install new medicine cabinet. Wall modifications/alterations and surface repairs are excluded.</t>
  </si>
  <si>
    <t>Medicine Cabinet | Material</t>
  </si>
  <si>
    <t>15-1/8 in. W x 19-1/4 in. framed recessed or surface-mount medicine cabinet. Material allocation shall not exceed $60 per cabinet.</t>
  </si>
  <si>
    <t>BATHROOM 2 LABOR &amp; MATERIAL</t>
  </si>
  <si>
    <r>
      <rPr>
        <sz val="10"/>
        <color theme="1"/>
        <rFont val="Arial"/>
      </rPr>
      <t xml:space="preserve">For the tile backsplash only. Min $350
</t>
    </r>
    <r>
      <rPr>
        <sz val="10"/>
        <color rgb="FFFF0000"/>
        <rFont val="Arial"/>
      </rPr>
      <t>THIS IS LABOR, MATERIAL BELOW</t>
    </r>
  </si>
  <si>
    <r>
      <rPr>
        <sz val="10"/>
        <color theme="1"/>
        <rFont val="Arial"/>
      </rPr>
      <t xml:space="preserve">Min $2000
</t>
    </r>
    <r>
      <rPr>
        <sz val="10"/>
        <color rgb="FFFF0000"/>
        <rFont val="Arial"/>
      </rPr>
      <t>THIS IS LABOR, MATERIAL BELOW</t>
    </r>
  </si>
  <si>
    <r>
      <rPr>
        <sz val="10"/>
        <color theme="1"/>
        <rFont val="Arial"/>
      </rPr>
      <t xml:space="preserve">Min $800
</t>
    </r>
    <r>
      <rPr>
        <sz val="10"/>
        <color rgb="FFFF0000"/>
        <rFont val="Arial"/>
      </rPr>
      <t>THIS IS LABOR, MATERIAL BELOW</t>
    </r>
  </si>
  <si>
    <t>LAUNDRY LABOR &amp; MATERIAL</t>
  </si>
  <si>
    <t>Labor and material to install one single sink pre-assebled vanity (not to exceed 5 LF). Single unit cabinet, countertop, sink and faucet. Material allocation shall not exeed $400 per vanity.
Assemble and install drawers and hardware. Basic vacuuming of debris is included. Cleaning or wiping the cabinets on the inside/outside is excluded. Labor to install light moulding and cover up under cabinets is excluded but can be added for an additional cost.</t>
  </si>
  <si>
    <t>Cabinet | GREEN | Material</t>
  </si>
  <si>
    <r>
      <rPr>
        <sz val="10"/>
        <color theme="1"/>
        <rFont val="Arial"/>
      </rPr>
      <t xml:space="preserve">For the tile backsplash only. Min $350
</t>
    </r>
    <r>
      <rPr>
        <sz val="10"/>
        <color rgb="FFFF0000"/>
        <rFont val="Arial"/>
      </rPr>
      <t>THIS IS LABOR, MATERIAL BELOW</t>
    </r>
  </si>
  <si>
    <t>Appliances Installation | Washer/Dryer | Labor</t>
  </si>
  <si>
    <t>1 per washer and dryer. Not 2</t>
  </si>
  <si>
    <t xml:space="preserve">Labor to install a washer dryer unit (side by side or stackable) and hook up to existing plumbing, electrical and ventilation. Hoses for appliances are to be provided by homeowner. Post hookup assembly and packing film removal are excluded. Any and all wall, plumbing, electrical or venting ventilation modifications are excluded. </t>
  </si>
  <si>
    <t>Appliances Installation | Washer/Dryer set | Material</t>
  </si>
  <si>
    <t>3.8 cu. ft. top load washer
6.2 cu. ft. electric vented dryer. 
Material allocation shall not exceed $1100 per set.</t>
  </si>
  <si>
    <t>CLOSET / PANTRY LABOR &amp; MATERIAL</t>
  </si>
  <si>
    <r>
      <rPr>
        <sz val="9"/>
        <color rgb="FF999999"/>
        <rFont val="Arial"/>
      </rPr>
      <t>Stock cabinets.</t>
    </r>
    <r>
      <rPr>
        <b/>
        <sz val="9"/>
        <color rgb="FF999999"/>
        <rFont val="Arial"/>
      </rPr>
      <t xml:space="preserve"> </t>
    </r>
    <r>
      <rPr>
        <sz val="9"/>
        <color rgb="FF999999"/>
        <rFont val="Arial"/>
      </rPr>
      <t xml:space="preserve">Solid wood doors, plywood boxes. Soft closing drawers and drawers. Dovetailed boxes. Allocation for material shall not exceed $160/LF. </t>
    </r>
  </si>
  <si>
    <t>Chelsey 4 in. center-to-center polished nickel drawer pull. Material allocation shall not exceed $10 per one pull.</t>
  </si>
  <si>
    <t>Maple cabinet boxes with plywood and wooden doors. Cabinet drawers are dovetailed and tongue and groove joints, full extension, self and soft closing drawers, under-mount drawer slides, and soft closing hinges. Organizers will be an additional cost. Final cabinet price will be subject to an actual quote from a vendor and is dependent on wood, door and drawer style, cabinet style, paint/stain, and sizes.</t>
  </si>
  <si>
    <t>Closet Shelving and Rod | Labor</t>
  </si>
  <si>
    <t xml:space="preserve">Labor to install one non-custom MDF closet shelf and one metal rod (up to 16'' deep x 120'' long). </t>
  </si>
  <si>
    <t>Closet Shelving and Rod | Material</t>
  </si>
  <si>
    <t>Material to install one non-custom MDF closet shelf and one metal rod (up to 16'' deep x 120'' long). Allocation shall not exceed $100/shelf and rod.</t>
  </si>
  <si>
    <t>FIREPLACE LABOR &amp; MATERIAL</t>
  </si>
  <si>
    <t>Stacked Stone Veneer | Labor</t>
  </si>
  <si>
    <t>min $600</t>
  </si>
  <si>
    <t>Labor to install stacked stone veneer. Custom layouts are excluded (such as herringbone patterns, custom liners or laying individual pieces in a custom pattern). Corner pieces installation is included.</t>
  </si>
  <si>
    <t>Stacked Stone Veneer | Material</t>
  </si>
  <si>
    <t xml:space="preserve">Stacked stone veneer material. Material allocation shall not exceed $6/SF (after taxes and delivery). </t>
  </si>
  <si>
    <t>Stacked Stone Veneer Corner Pieces | Material</t>
  </si>
  <si>
    <t xml:space="preserve">Stacked stone veneer corner pieces material. Material allocation shall not exceed $15/piece (after taxes and delivery). Dimensions shall not exceed 6''x6''x12''. </t>
  </si>
  <si>
    <t>Wall Tile Standard Layout | Labor</t>
  </si>
  <si>
    <t>Min $600</t>
  </si>
  <si>
    <t xml:space="preserve">Labor to install wall tile. Mosaic or individual tile in a standard layout (offset or stacked). 
Custom layouts are excluded (such as herringbone patterns, custom liners or laying individual tiles in a custom pattern). Tile and schluters are excluded. </t>
  </si>
  <si>
    <t>Wall Tile Custom Layout | Labor</t>
  </si>
  <si>
    <r>
      <rPr>
        <sz val="10"/>
        <color theme="1"/>
        <rFont val="Arial"/>
      </rPr>
      <t xml:space="preserve">Min $800
</t>
    </r>
    <r>
      <rPr>
        <sz val="10"/>
        <color rgb="FFFF0000"/>
        <rFont val="Arial"/>
      </rPr>
      <t>THIS IS LABOR, MATERIAL BELOW</t>
    </r>
  </si>
  <si>
    <t xml:space="preserve">Labor to install wall tile. Lay tile in a custom layout (such as herring bone or custom liners or medallions). Tile and schluters are excluded. </t>
  </si>
  <si>
    <t xml:space="preserve">Tile | GREEN | Material </t>
  </si>
  <si>
    <t>Wall tile material (tile, grout, schluters). Material allocations shall not exceed the following per unit of measure (after taxes and delivery) $6/SF.  
This estimate includes the square footage of tile needed for the area included in your project. In some cases, tile is only sold per box by the vendor and not per square foot/piece, in which case more tile will need to be purchased than needed for the project and that cost would be passed on to the homeowner. The exact square footage to be purchased will be determined based on the tile and vendor selected.</t>
  </si>
  <si>
    <t>Surface Preparation | Labor &amp; Rough Material</t>
  </si>
  <si>
    <t xml:space="preserve">Labor and rough material to prepare fireplace walls (up to 50 SF) for material installation. Finishing materials (such as tile, grout and schluters, quartz wall material) are excluded. </t>
  </si>
  <si>
    <t>Fireplace Mantle | Labor</t>
  </si>
  <si>
    <t xml:space="preserve">Labor to install a homeowner provided fireplace mantle (up to 5 LF). </t>
  </si>
  <si>
    <t>Fireplace Insert | Labor</t>
  </si>
  <si>
    <t>Labor to install homeowner provided electrical fireplace insert. Size of a fireplace insert shall not exceed 3'x3'. Gas and natural burn fireplace inserts are excluded.</t>
  </si>
  <si>
    <t xml:space="preserve">Stock cabinets. Solid wood doors, plywood boxes. Soft closing drawers and drawers. Dovetailed boxes. Allocation for material shall not exceed $160/LF. </t>
  </si>
  <si>
    <t xml:space="preserve">Labor to install prefabricated countertops with standard eased edge. 45 degree mitered, waterfall, OGEE, 3CM edges are excluded. </t>
  </si>
  <si>
    <t xml:space="preserve">Countertop 26'' | Pre Fabricated | Material </t>
  </si>
  <si>
    <r>
      <rPr>
        <sz val="9"/>
        <color rgb="FF999999"/>
        <rFont val="Arial"/>
      </rPr>
      <t>Prefabricated countertop material with standard eased edge</t>
    </r>
    <r>
      <rPr>
        <b/>
        <sz val="9"/>
        <color rgb="FF999999"/>
        <rFont val="Arial"/>
      </rPr>
      <t xml:space="preserve"> </t>
    </r>
    <r>
      <rPr>
        <sz val="9"/>
        <color rgb="FF999999"/>
        <rFont val="Arial"/>
      </rPr>
      <t xml:space="preserve">(26''x96'' piece). Material allocation shall not exceed $500/slab (after taxes and fees) for perimeter pieces.  For island pieces depending on the size.           </t>
    </r>
  </si>
  <si>
    <t>TOTAL</t>
  </si>
  <si>
    <t>DISCOUNT</t>
  </si>
  <si>
    <t>TOTAL WITH DISCOUNT</t>
  </si>
  <si>
    <r>
      <rPr>
        <sz val="10"/>
        <color theme="1"/>
        <rFont val="Arial"/>
      </rPr>
      <t xml:space="preserve">min $1.5k
account trenching for EACH line, water + sewer + gas. Electical line can be installed above the ground
</t>
    </r>
    <r>
      <rPr>
        <sz val="10"/>
        <color rgb="FFFF0000"/>
        <rFont val="Arial"/>
      </rPr>
      <t>FOR THE EXTERIOR LABOR ONLY, FOR ANY RELOCATIONS INSIDE THE HOUSE PLEASE USE LINE IN THE PLUMBING SECTION</t>
    </r>
  </si>
  <si>
    <t>Labor to do trenching for the utilities to connect main house with the ADU. The depth of the trench shall not exceed 18''. Hard-pan layer of soil, stones, stumps, or tree removal is excluded.</t>
  </si>
  <si>
    <t>By signing here, the homeowner agrees that they have read through each line of the contents of the estimate, understand each line, it's quantity and allocations. Homeowner agrees that they have asked for clarification prior to signing (if necessary). Homeowner agrees to all terms and conditions, line item limitations and exclusions and has clarified any questions that arose from the review of these estimate line items.</t>
  </si>
  <si>
    <t>Signature</t>
  </si>
  <si>
    <t>Date</t>
  </si>
  <si>
    <r>
      <rPr>
        <sz val="10"/>
        <color theme="1"/>
        <rFont val="Arial"/>
      </rPr>
      <t xml:space="preserve">min $1.5k
account trenching for EACH line, water + sewer + gas. Electical line can be installed above the ground
</t>
    </r>
    <r>
      <rPr>
        <sz val="10"/>
        <color rgb="FFFF0000"/>
        <rFont val="Arial"/>
      </rPr>
      <t>FOR THE EXTERIOR LABOR ONLY, FOR ANY RELOCATIONS INSIDE THE HOUSE PLEASE USE LINE IN THE PLUMBING SECTION</t>
    </r>
  </si>
  <si>
    <r>
      <rPr>
        <b/>
        <sz val="11"/>
        <color theme="1"/>
        <rFont val="Arial"/>
      </rPr>
      <t xml:space="preserve">Install Plumbing Fixtures
</t>
    </r>
    <r>
      <rPr>
        <sz val="11"/>
        <color theme="1"/>
        <rFont val="Arial"/>
      </rPr>
      <t xml:space="preserve">All plumbing fixtures are homeowner provided unless specified in the line items below. </t>
    </r>
  </si>
  <si>
    <r>
      <rPr>
        <sz val="10"/>
        <color rgb="FFFF0000"/>
        <rFont val="Arial"/>
      </rPr>
      <t xml:space="preserve">From subcontractor:
</t>
    </r>
    <r>
      <rPr>
        <sz val="10"/>
        <color theme="1"/>
        <rFont val="Arial"/>
      </rPr>
      <t>Interior Paint Whole house or Part of the House ( For example Additional - Minton, Carpet,  etc): 
--- Empty house (Nobody leaves there) , 3 colors (1- baseboards and trims, door;2- Walls;3) Ceiling ); Ceiling height up to  8 FT; includes labor and paint)--$3.5 per sq f. by the flooring, not to the walls. For example- if we have a house  1500 sq f, then 1500 X$3,5=$5250
----If it is up to 12 Ft - $4.5 per sq f. by the flooring, not to the walls. For example- if we have a house  1500 sq f, then 1500 X$4,5=$6750
 ---- add every next color ( if it more than 3 colors)- plus $0.50 per sq f. 
---- If people live in a house, then add $ 1 per sq f.</t>
    </r>
  </si>
  <si>
    <r>
      <rPr>
        <sz val="10"/>
        <color rgb="FFFF0000"/>
        <rFont val="Arial"/>
      </rPr>
      <t xml:space="preserve">From our subcontractor:
</t>
    </r>
    <r>
      <rPr>
        <sz val="10"/>
        <color theme="1"/>
        <rFont val="Arial"/>
      </rPr>
      <t>Exterior painting -3 colors (1-  trims, fascia, Eaves;2- Walls); Ceiling height up to  8 FT; includes labor and paint)t- $3 per sq f. by the flooring, not to the walls. For example- if we have a house  1500 sq f, then 1500 X$3=$4500
---If it is up to 12 Ft - $4 per sq f. by the flooring, not to the walls. For example- if we have a house  1500 sq f, then 1500 X$4=$6000
----add every next color ( if it more than 3 colors)- plus $0.50 per sq f.</t>
    </r>
  </si>
  <si>
    <r>
      <rPr>
        <sz val="9"/>
        <color rgb="FF999999"/>
        <rFont val="Arial"/>
      </rPr>
      <t>Stock cabinets.</t>
    </r>
    <r>
      <rPr>
        <b/>
        <sz val="9"/>
        <color rgb="FF999999"/>
        <rFont val="Arial"/>
      </rPr>
      <t xml:space="preserve"> </t>
    </r>
    <r>
      <rPr>
        <sz val="9"/>
        <color rgb="FF999999"/>
        <rFont val="Arial"/>
      </rPr>
      <t xml:space="preserve">Solid wood doors, plywood boxes. Soft closing drawers and drawers. Dovetailed boxes. Allocation for material shall not exceed $160/LF. </t>
    </r>
  </si>
  <si>
    <r>
      <rPr>
        <sz val="10"/>
        <color theme="1"/>
        <rFont val="Arial"/>
      </rPr>
      <t xml:space="preserve">For the tile backsplash only. Min $350
</t>
    </r>
    <r>
      <rPr>
        <sz val="10"/>
        <color rgb="FFFF0000"/>
        <rFont val="Arial"/>
      </rPr>
      <t>THIS IS LABOR, MATERIAL BELOW</t>
    </r>
  </si>
  <si>
    <r>
      <rPr>
        <sz val="10"/>
        <color theme="1"/>
        <rFont val="Arial"/>
      </rPr>
      <t xml:space="preserve">Min $2000
</t>
    </r>
    <r>
      <rPr>
        <sz val="10"/>
        <color rgb="FFFF0000"/>
        <rFont val="Arial"/>
      </rPr>
      <t>THIS IS LABOR, MATERIAL BELOW</t>
    </r>
  </si>
  <si>
    <r>
      <rPr>
        <sz val="10"/>
        <color theme="1"/>
        <rFont val="Arial"/>
      </rPr>
      <t xml:space="preserve">Min $800
</t>
    </r>
    <r>
      <rPr>
        <sz val="10"/>
        <color rgb="FFFF0000"/>
        <rFont val="Arial"/>
      </rPr>
      <t>THIS IS LABOR, MATERIAL BELOW</t>
    </r>
  </si>
  <si>
    <r>
      <rPr>
        <sz val="10"/>
        <color theme="1"/>
        <rFont val="Arial"/>
      </rPr>
      <t xml:space="preserve">For the tile backsplash only. Min $350
</t>
    </r>
    <r>
      <rPr>
        <sz val="10"/>
        <color rgb="FFFF0000"/>
        <rFont val="Arial"/>
      </rPr>
      <t>THIS IS LABOR, MATERIAL BELOW</t>
    </r>
  </si>
  <si>
    <r>
      <rPr>
        <sz val="10"/>
        <color theme="1"/>
        <rFont val="Arial"/>
      </rPr>
      <t xml:space="preserve">Min $2000
</t>
    </r>
    <r>
      <rPr>
        <sz val="10"/>
        <color rgb="FFFF0000"/>
        <rFont val="Arial"/>
      </rPr>
      <t>THIS IS LABOR, MATERIAL BELOW</t>
    </r>
  </si>
  <si>
    <r>
      <rPr>
        <sz val="10"/>
        <color theme="1"/>
        <rFont val="Arial"/>
      </rPr>
      <t xml:space="preserve">Min $800
</t>
    </r>
    <r>
      <rPr>
        <sz val="10"/>
        <color rgb="FFFF0000"/>
        <rFont val="Arial"/>
      </rPr>
      <t>THIS IS LABOR, MATERIAL BELOW</t>
    </r>
  </si>
  <si>
    <r>
      <rPr>
        <sz val="10"/>
        <color theme="1"/>
        <rFont val="Arial"/>
      </rPr>
      <t xml:space="preserve">For the tile backsplash only. Min $350
</t>
    </r>
    <r>
      <rPr>
        <sz val="10"/>
        <color rgb="FFFF0000"/>
        <rFont val="Arial"/>
      </rPr>
      <t>THIS IS LABOR, MATERIAL BELOW</t>
    </r>
  </si>
  <si>
    <r>
      <rPr>
        <sz val="9"/>
        <color rgb="FF999999"/>
        <rFont val="Arial"/>
      </rPr>
      <t>Stock cabinets.</t>
    </r>
    <r>
      <rPr>
        <b/>
        <sz val="9"/>
        <color rgb="FF999999"/>
        <rFont val="Arial"/>
      </rPr>
      <t xml:space="preserve"> </t>
    </r>
    <r>
      <rPr>
        <sz val="9"/>
        <color rgb="FF999999"/>
        <rFont val="Arial"/>
      </rPr>
      <t xml:space="preserve">Solid wood doors, plywood boxes. Soft closing drawers and drawers. Dovetailed boxes. Allocation for material shall not exceed $160/LF. </t>
    </r>
  </si>
  <si>
    <r>
      <rPr>
        <sz val="10"/>
        <color theme="1"/>
        <rFont val="Arial"/>
      </rPr>
      <t xml:space="preserve">Min $800
</t>
    </r>
    <r>
      <rPr>
        <sz val="10"/>
        <color rgb="FFFF0000"/>
        <rFont val="Arial"/>
      </rPr>
      <t>THIS IS LABOR, MATERIAL BELOW</t>
    </r>
  </si>
  <si>
    <r>
      <rPr>
        <sz val="9"/>
        <color rgb="FF999999"/>
        <rFont val="Arial"/>
      </rPr>
      <t>Prefabricated countertop material with standard eased edge</t>
    </r>
    <r>
      <rPr>
        <b/>
        <sz val="9"/>
        <color rgb="FF999999"/>
        <rFont val="Arial"/>
      </rPr>
      <t xml:space="preserve"> </t>
    </r>
    <r>
      <rPr>
        <sz val="9"/>
        <color rgb="FF999999"/>
        <rFont val="Arial"/>
      </rPr>
      <t xml:space="preserve">(26''x96'' piece). Material allocation shall not exceed $500/slab (after taxes and fees) for perimeter pieces.  For island pieces depending on the size.           </t>
    </r>
  </si>
  <si>
    <r>
      <rPr>
        <sz val="10"/>
        <color theme="1"/>
        <rFont val="Arial"/>
      </rPr>
      <t xml:space="preserve">min $1.5k
account trenching for EACH line, water + sewer + gas. Electical line can be installed above the ground
</t>
    </r>
    <r>
      <rPr>
        <sz val="10"/>
        <color rgb="FFFF0000"/>
        <rFont val="Arial"/>
      </rPr>
      <t>FOR THE EXTERIOR LABOR ONLY, FOR ANY RELOCATIONS INSIDE THE HOUSE PLEASE USE LINE IN THE PLUMBING SECTION</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</si>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</sst>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quot;$&quot;#,##0.00"/>
    <numFmt numFmtId="166" formatCode="#,##0.000"/>
    <numFmt numFmtId="167" formatCode="0.000"/>
  </numFmts>
  <fonts count="26" x14ac:knownFonts="1">
    <font>
      <sz val="10"/>
      <color rgb="FF000000"/>
      <name val="Arial"/>
      <scheme val="minor"/>
    </font>
    <font>
      <sz val="10"/>
      <color theme="1"/>
      <name val="Arial"/>
    </font>
    <font>
      <b/>
      <sz val="10"/>
      <color theme="1"/>
      <name val="Arial"/>
    </font>
    <font>
      <b/>
      <sz val="10"/>
      <color rgb="FFFF0000"/>
      <name val="Arial"/>
    </font>
    <font>
      <b/>
      <sz val="15"/>
      <color rgb="FF000000"/>
      <name val="Arial"/>
    </font>
    <font>
      <b/>
      <sz val="10"/>
      <color rgb="FFFFFFFF"/>
      <name val="Arial"/>
    </font>
    <font>
      <sz val="10"/>
      <name val="Arial"/>
    </font>
    <font>
      <b/>
      <sz val="18"/>
      <color theme="1"/>
      <name val="Arial"/>
    </font>
    <font>
      <sz val="10"/>
      <color rgb="FFFFFFFF"/>
      <name val="Arial"/>
    </font>
    <font>
      <b/>
      <sz val="11"/>
      <color theme="1"/>
      <name val="Arial"/>
    </font>
    <font>
      <sz val="9"/>
      <color rgb="FF999999"/>
      <name val="Arial"/>
    </font>
    <font>
      <sz val="10"/>
      <color rgb="FFFF0000"/>
      <name val="Arial"/>
    </font>
    <font>
      <sz val="10"/>
      <color theme="1"/>
      <name val="Arial"/>
    </font>
    <font>
      <b/>
      <sz val="10"/>
      <color theme="1"/>
      <name val="Arial"/>
    </font>
    <font>
      <b/>
      <sz val="12"/>
      <color theme="1"/>
      <name val="Arial"/>
    </font>
    <font>
      <b/>
      <sz val="11"/>
      <color rgb="FFFFFFFF"/>
      <name val="Arial"/>
    </font>
    <font>
      <b/>
      <sz val="12"/>
      <color rgb="FFFFFFFF"/>
      <name val="Arial"/>
    </font>
    <font>
      <sz val="10"/>
      <color theme="0"/>
      <name val="Arial"/>
    </font>
    <font>
      <sz val="9"/>
      <color rgb="FF666666"/>
      <name val="Arial"/>
    </font>
    <font>
      <sz val="11"/>
      <color rgb="FFD9D9D9"/>
      <name val="Arial"/>
    </font>
    <font>
      <sz val="11"/>
      <color theme="1"/>
      <name val="Arial"/>
    </font>
    <font>
      <b/>
      <sz val="9"/>
      <color rgb="FF999999"/>
      <name val="Arial"/>
    </font>
    <font>
      <sz val="10"/>
      <color theme="1"/>
      <name val="Arial"/>
      <family val="2"/>
    </font>
    <font>
      <b/>
      <sz val="11"/>
      <color rgb="FFFF0000"/>
      <name val="Arial"/>
      <family val="2"/>
    </font>
    <font>
      <sz val="9"/>
      <color rgb="FF999999"/>
      <name val="Arial"/>
      <family val="2"/>
    </font>
    <font>
      <b/>
      <sz val="11"/>
      <color theme="1"/>
      <name val="Arial"/>
      <family val="2"/>
    </font>
  </fonts>
  <fills count="7">
    <fill>
      <patternFill patternType="none"/>
    </fill>
    <fill>
      <patternFill patternType="gray125"/>
    </fill>
    <fill>
      <patternFill patternType="solid">
        <fgColor rgb="FFFFFFFF"/>
        <bgColor rgb="FFFFFFFF"/>
      </patternFill>
    </fill>
    <fill>
      <patternFill patternType="solid">
        <fgColor rgb="FFDEECDD"/>
        <bgColor rgb="FFDEECDD"/>
      </patternFill>
    </fill>
    <fill>
      <patternFill patternType="solid">
        <fgColor rgb="FFF4CCCC"/>
        <bgColor rgb="FFF4CCCC"/>
      </patternFill>
    </fill>
    <fill>
      <patternFill patternType="solid">
        <fgColor rgb="FFEAD1DC"/>
        <bgColor rgb="FFEAD1DC"/>
      </patternFill>
    </fill>
    <fill>
      <patternFill patternType="solid">
        <fgColor rgb="FFEFEFEF"/>
        <bgColor rgb="FFEFEFEF"/>
      </patternFill>
    </fill>
  </fills>
  <borders count="29">
    <border>
      <left/>
      <right/>
      <top/>
      <bottom/>
      <diagonal/>
    </border>
    <border>
      <left style="thin">
        <color rgb="FFCCCCCC"/>
      </left>
      <right style="thin">
        <color rgb="FFCCCCCC"/>
      </right>
      <top style="thin">
        <color rgb="FFCCCCCC"/>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999999"/>
      </left>
      <right style="thin">
        <color rgb="FF999999"/>
      </right>
      <top style="thin">
        <color rgb="FF999999"/>
      </top>
      <bottom/>
      <diagonal/>
    </border>
    <border>
      <left/>
      <right style="thin">
        <color rgb="FFCCCCCC"/>
      </right>
      <top/>
      <bottom/>
      <diagonal/>
    </border>
    <border>
      <left style="thin">
        <color rgb="FF999999"/>
      </left>
      <right style="thin">
        <color rgb="FF999999"/>
      </right>
      <top/>
      <bottom style="thin">
        <color rgb="FF999999"/>
      </bottom>
      <diagonal/>
    </border>
    <border>
      <left/>
      <right style="thin">
        <color rgb="FFCCCCCC"/>
      </right>
      <top/>
      <bottom style="thin">
        <color rgb="FFCCCCCC"/>
      </bottom>
      <diagonal/>
    </border>
    <border>
      <left/>
      <right style="thin">
        <color rgb="FFCCCCCC"/>
      </right>
      <top style="thin">
        <color rgb="FFCCCCCC"/>
      </top>
      <bottom/>
      <diagonal/>
    </border>
    <border>
      <left/>
      <right/>
      <top style="thin">
        <color rgb="FFCCCCCC"/>
      </top>
      <bottom/>
      <diagonal/>
    </border>
    <border>
      <left style="thin">
        <color rgb="FF999999"/>
      </left>
      <right style="thin">
        <color rgb="FF999999"/>
      </right>
      <top/>
      <bottom/>
      <diagonal/>
    </border>
    <border>
      <left/>
      <right/>
      <top/>
      <bottom style="thin">
        <color rgb="FFCCCCCC"/>
      </bottom>
      <diagonal/>
    </border>
    <border>
      <left/>
      <right style="thin">
        <color rgb="FF999999"/>
      </right>
      <top style="thin">
        <color rgb="FF999999"/>
      </top>
      <bottom/>
      <diagonal/>
    </border>
    <border>
      <left/>
      <right style="thin">
        <color rgb="FF999999"/>
      </right>
      <top/>
      <bottom style="thin">
        <color rgb="FF999999"/>
      </bottom>
      <diagonal/>
    </border>
    <border>
      <left style="thin">
        <color rgb="FF999999"/>
      </left>
      <right/>
      <top style="thin">
        <color rgb="FF999999"/>
      </top>
      <bottom/>
      <diagonal/>
    </border>
    <border>
      <left style="thin">
        <color rgb="FF999999"/>
      </left>
      <right/>
      <top/>
      <bottom style="thin">
        <color rgb="FF999999"/>
      </bottom>
      <diagonal/>
    </border>
    <border>
      <left style="thin">
        <color rgb="FF999999"/>
      </left>
      <right/>
      <top/>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right/>
      <top/>
      <bottom style="thin">
        <color rgb="FF999999"/>
      </bottom>
      <diagonal/>
    </border>
    <border>
      <left/>
      <right/>
      <top/>
      <bottom style="thick">
        <color rgb="FF62C856"/>
      </bottom>
      <diagonal/>
    </border>
  </borders>
  <cellStyleXfs count="1">
    <xf numFmtId="0" fontId="0" fillId="0" borderId="0"/>
  </cellStyleXfs>
  <cellXfs count="142">
    <xf numFmtId="0" fontId="0" fillId="0" borderId="0" xfId="0"/>
    <xf numFmtId="0" fontId="1" fillId="2" borderId="0" xfId="0" applyFont="1" applyFill="1" applyAlignment="1">
      <alignment vertical="center"/>
    </xf>
    <xf numFmtId="0" fontId="2" fillId="2" borderId="0" xfId="0" applyFont="1" applyFill="1" applyAlignment="1">
      <alignment horizontal="center" vertical="center" wrapText="1"/>
    </xf>
    <xf numFmtId="164" fontId="2" fillId="2" borderId="0" xfId="0" applyNumberFormat="1" applyFont="1" applyFill="1" applyAlignment="1">
      <alignment horizontal="center" vertical="center" wrapText="1"/>
    </xf>
    <xf numFmtId="165" fontId="3"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1" fillId="0" borderId="0" xfId="0" applyFont="1" applyAlignment="1">
      <alignment horizontal="center" vertical="center" wrapText="1"/>
    </xf>
    <xf numFmtId="166" fontId="1" fillId="0" borderId="0" xfId="0" applyNumberFormat="1" applyFont="1" applyAlignment="1">
      <alignment horizontal="center" vertical="center" wrapText="1"/>
    </xf>
    <xf numFmtId="0" fontId="2" fillId="2" borderId="5" xfId="0" applyFont="1" applyFill="1" applyBorder="1" applyAlignment="1">
      <alignment horizontal="center" vertical="center"/>
    </xf>
    <xf numFmtId="165" fontId="1" fillId="2" borderId="5" xfId="0" applyNumberFormat="1" applyFont="1" applyFill="1" applyBorder="1" applyAlignment="1">
      <alignment horizontal="right" vertical="center" wrapText="1"/>
    </xf>
    <xf numFmtId="164" fontId="1" fillId="0" borderId="0" xfId="0" applyNumberFormat="1" applyFont="1" applyAlignment="1">
      <alignment horizontal="center" wrapText="1"/>
    </xf>
    <xf numFmtId="165" fontId="1" fillId="2" borderId="5" xfId="0" applyNumberFormat="1" applyFont="1" applyFill="1" applyBorder="1" applyAlignment="1">
      <alignment horizontal="center" vertical="center" wrapText="1"/>
    </xf>
    <xf numFmtId="165" fontId="1" fillId="2" borderId="5" xfId="0" applyNumberFormat="1" applyFont="1" applyFill="1" applyBorder="1" applyAlignment="1">
      <alignment horizontal="center" vertical="center"/>
    </xf>
    <xf numFmtId="165" fontId="7" fillId="2" borderId="5" xfId="0" applyNumberFormat="1" applyFont="1" applyFill="1" applyBorder="1" applyAlignment="1">
      <alignment horizontal="center" vertical="center" wrapText="1"/>
    </xf>
    <xf numFmtId="164" fontId="1" fillId="2" borderId="5" xfId="0" applyNumberFormat="1" applyFont="1" applyFill="1" applyBorder="1" applyAlignment="1">
      <alignment horizontal="center" vertical="center" wrapText="1"/>
    </xf>
    <xf numFmtId="164" fontId="1" fillId="0" borderId="0" xfId="0" applyNumberFormat="1" applyFont="1" applyAlignment="1">
      <alignment horizontal="center" vertical="center" wrapText="1"/>
    </xf>
    <xf numFmtId="0" fontId="1" fillId="0" borderId="4" xfId="0" applyFont="1" applyBorder="1"/>
    <xf numFmtId="165" fontId="9" fillId="2" borderId="0" xfId="0" applyNumberFormat="1" applyFont="1" applyFill="1" applyAlignment="1">
      <alignment horizontal="center" vertical="center" wrapText="1"/>
    </xf>
    <xf numFmtId="165" fontId="9" fillId="3" borderId="0" xfId="0" applyNumberFormat="1" applyFont="1" applyFill="1" applyAlignment="1">
      <alignment horizontal="center" vertical="center" wrapText="1"/>
    </xf>
    <xf numFmtId="0" fontId="9" fillId="2" borderId="11" xfId="0" applyFont="1" applyFill="1" applyBorder="1" applyAlignment="1">
      <alignment wrapText="1"/>
    </xf>
    <xf numFmtId="165" fontId="1" fillId="0" borderId="11" xfId="0" applyNumberFormat="1" applyFont="1" applyBorder="1" applyAlignment="1">
      <alignment horizontal="center" vertical="center" wrapText="1"/>
    </xf>
    <xf numFmtId="164" fontId="1" fillId="0" borderId="12" xfId="0" applyNumberFormat="1" applyFont="1" applyBorder="1" applyAlignment="1">
      <alignment horizontal="center" vertical="center" wrapText="1"/>
    </xf>
    <xf numFmtId="0" fontId="1" fillId="0" borderId="1" xfId="0" applyFont="1" applyBorder="1" applyAlignment="1">
      <alignment vertical="center" wrapText="1"/>
    </xf>
    <xf numFmtId="0" fontId="10" fillId="0" borderId="13" xfId="0" applyFont="1" applyBorder="1" applyAlignment="1">
      <alignment vertical="top" wrapText="1"/>
    </xf>
    <xf numFmtId="0" fontId="1" fillId="0" borderId="5" xfId="0" applyFont="1" applyBorder="1" applyAlignment="1">
      <alignment wrapText="1"/>
    </xf>
    <xf numFmtId="0" fontId="1" fillId="0" borderId="1" xfId="0" applyFont="1" applyBorder="1"/>
    <xf numFmtId="165" fontId="9" fillId="3" borderId="12" xfId="0" applyNumberFormat="1" applyFont="1" applyFill="1" applyBorder="1" applyAlignment="1">
      <alignment horizontal="center" vertical="center" wrapText="1"/>
    </xf>
    <xf numFmtId="165" fontId="9" fillId="3" borderId="7" xfId="0" applyNumberFormat="1" applyFont="1" applyFill="1" applyBorder="1" applyAlignment="1">
      <alignment horizontal="center" vertical="center" wrapText="1"/>
    </xf>
    <xf numFmtId="0" fontId="10" fillId="0" borderId="17" xfId="0" applyFont="1" applyBorder="1" applyAlignment="1">
      <alignment vertical="top" wrapText="1"/>
    </xf>
    <xf numFmtId="1" fontId="1" fillId="0" borderId="11" xfId="0" applyNumberFormat="1" applyFont="1" applyBorder="1" applyAlignment="1">
      <alignment horizontal="center" vertical="center" wrapText="1"/>
    </xf>
    <xf numFmtId="164" fontId="1" fillId="0" borderId="5" xfId="0" applyNumberFormat="1" applyFont="1" applyBorder="1" applyAlignment="1">
      <alignment horizontal="center" vertical="center" wrapText="1"/>
    </xf>
    <xf numFmtId="165" fontId="9" fillId="3" borderId="14" xfId="0" applyNumberFormat="1" applyFont="1" applyFill="1" applyBorder="1" applyAlignment="1">
      <alignment horizontal="center" vertical="center" wrapText="1"/>
    </xf>
    <xf numFmtId="0" fontId="1" fillId="0" borderId="5" xfId="0" applyFont="1" applyBorder="1"/>
    <xf numFmtId="0" fontId="9" fillId="2" borderId="21" xfId="0" applyFont="1" applyFill="1" applyBorder="1" applyAlignment="1">
      <alignment wrapText="1"/>
    </xf>
    <xf numFmtId="0" fontId="1" fillId="0" borderId="1" xfId="0" applyFont="1" applyBorder="1" applyAlignment="1">
      <alignment wrapText="1"/>
    </xf>
    <xf numFmtId="0" fontId="10" fillId="0" borderId="22" xfId="0" applyFont="1" applyBorder="1" applyAlignment="1">
      <alignment vertical="top" wrapText="1"/>
    </xf>
    <xf numFmtId="165" fontId="9" fillId="3" borderId="4" xfId="0" applyNumberFormat="1" applyFont="1" applyFill="1" applyBorder="1" applyAlignment="1">
      <alignment horizontal="center" vertical="center" wrapText="1"/>
    </xf>
    <xf numFmtId="165" fontId="9" fillId="3" borderId="5" xfId="0" applyNumberFormat="1" applyFont="1" applyFill="1" applyBorder="1" applyAlignment="1">
      <alignment horizontal="center" vertical="center" wrapText="1"/>
    </xf>
    <xf numFmtId="165" fontId="9" fillId="6" borderId="4" xfId="0" applyNumberFormat="1" applyFont="1" applyFill="1" applyBorder="1" applyAlignment="1">
      <alignment horizontal="center" vertical="center" wrapText="1"/>
    </xf>
    <xf numFmtId="165" fontId="12" fillId="3" borderId="4" xfId="0" applyNumberFormat="1" applyFont="1" applyFill="1" applyBorder="1" applyAlignment="1">
      <alignment horizontal="left" wrapText="1"/>
    </xf>
    <xf numFmtId="164" fontId="1" fillId="0" borderId="5" xfId="0" applyNumberFormat="1" applyFont="1" applyBorder="1" applyAlignment="1">
      <alignment horizontal="center" wrapText="1"/>
    </xf>
    <xf numFmtId="0" fontId="10" fillId="0" borderId="17" xfId="0" applyFont="1" applyBorder="1" applyAlignment="1">
      <alignment horizontal="right" vertical="top" wrapText="1"/>
    </xf>
    <xf numFmtId="0" fontId="10" fillId="0" borderId="13" xfId="0" applyFont="1" applyBorder="1" applyAlignment="1">
      <alignment horizontal="right" vertical="top" wrapText="1"/>
    </xf>
    <xf numFmtId="0" fontId="1" fillId="0" borderId="7" xfId="0" applyFont="1" applyBorder="1"/>
    <xf numFmtId="0" fontId="9" fillId="2" borderId="23" xfId="0" applyFont="1" applyFill="1" applyBorder="1" applyAlignment="1">
      <alignment wrapText="1"/>
    </xf>
    <xf numFmtId="165" fontId="9" fillId="6" borderId="5" xfId="0" applyNumberFormat="1" applyFont="1" applyFill="1" applyBorder="1" applyAlignment="1">
      <alignment horizontal="center" vertical="center" wrapText="1"/>
    </xf>
    <xf numFmtId="0" fontId="1" fillId="0" borderId="0" xfId="0" applyFont="1"/>
    <xf numFmtId="0" fontId="14" fillId="2" borderId="27" xfId="0" applyFont="1" applyFill="1" applyBorder="1" applyAlignment="1">
      <alignment horizontal="right" wrapText="1"/>
    </xf>
    <xf numFmtId="0" fontId="2" fillId="2" borderId="0" xfId="0" applyFont="1" applyFill="1" applyAlignment="1">
      <alignment horizontal="center" vertical="center"/>
    </xf>
    <xf numFmtId="167" fontId="2" fillId="2" borderId="0" xfId="0" applyNumberFormat="1" applyFont="1" applyFill="1" applyAlignment="1">
      <alignment horizontal="center" vertical="center"/>
    </xf>
    <xf numFmtId="0" fontId="14" fillId="2" borderId="28" xfId="0" applyFont="1" applyFill="1" applyBorder="1" applyAlignment="1">
      <alignment horizontal="right" wrapText="1"/>
    </xf>
    <xf numFmtId="0" fontId="1" fillId="2" borderId="0" xfId="0" applyFont="1" applyFill="1"/>
    <xf numFmtId="0" fontId="19" fillId="2" borderId="27" xfId="0" applyFont="1" applyFill="1" applyBorder="1" applyAlignment="1">
      <alignment horizontal="right"/>
    </xf>
    <xf numFmtId="0" fontId="1" fillId="0" borderId="27" xfId="0" applyFont="1" applyBorder="1"/>
    <xf numFmtId="0" fontId="1" fillId="0" borderId="0" xfId="0" applyFont="1" applyAlignment="1">
      <alignment vertical="center" wrapText="1"/>
    </xf>
    <xf numFmtId="0" fontId="1" fillId="0" borderId="4" xfId="0" applyFont="1" applyBorder="1" applyAlignment="1">
      <alignment vertical="center"/>
    </xf>
    <xf numFmtId="0" fontId="9" fillId="2" borderId="11" xfId="0" applyFont="1" applyFill="1" applyBorder="1" applyAlignment="1">
      <alignment vertical="center" wrapText="1"/>
    </xf>
    <xf numFmtId="0" fontId="10" fillId="0" borderId="13" xfId="0" applyFont="1" applyBorder="1" applyAlignment="1">
      <alignment vertical="center" wrapText="1"/>
    </xf>
    <xf numFmtId="0" fontId="1" fillId="0" borderId="5" xfId="0" applyFont="1" applyBorder="1" applyAlignment="1">
      <alignment vertical="center" wrapText="1"/>
    </xf>
    <xf numFmtId="0" fontId="1" fillId="0" borderId="1" xfId="0" applyFont="1" applyBorder="1" applyAlignment="1">
      <alignment vertical="center"/>
    </xf>
    <xf numFmtId="0" fontId="10" fillId="0" borderId="17" xfId="0" applyFont="1" applyBorder="1" applyAlignment="1">
      <alignment vertical="center" wrapText="1"/>
    </xf>
    <xf numFmtId="0" fontId="1" fillId="0" borderId="5" xfId="0" applyFont="1" applyBorder="1" applyAlignment="1">
      <alignment vertical="center"/>
    </xf>
    <xf numFmtId="0" fontId="9" fillId="2" borderId="21" xfId="0" applyFont="1" applyFill="1" applyBorder="1" applyAlignment="1">
      <alignment vertical="center" wrapText="1"/>
    </xf>
    <xf numFmtId="0" fontId="10" fillId="0" borderId="22" xfId="0" applyFont="1" applyBorder="1" applyAlignment="1">
      <alignment vertical="center" wrapText="1"/>
    </xf>
    <xf numFmtId="165" fontId="12" fillId="3" borderId="4" xfId="0" applyNumberFormat="1" applyFont="1" applyFill="1" applyBorder="1" applyAlignment="1">
      <alignment horizontal="left" vertical="center" wrapText="1"/>
    </xf>
    <xf numFmtId="0" fontId="10" fillId="0" borderId="17" xfId="0" applyFont="1" applyBorder="1" applyAlignment="1">
      <alignment horizontal="right" vertical="center" wrapText="1"/>
    </xf>
    <xf numFmtId="0" fontId="10" fillId="0" borderId="13" xfId="0" applyFont="1" applyBorder="1" applyAlignment="1">
      <alignment horizontal="right" vertical="center" wrapText="1"/>
    </xf>
    <xf numFmtId="0" fontId="1" fillId="0" borderId="7" xfId="0" applyFont="1" applyBorder="1" applyAlignment="1">
      <alignment vertical="center"/>
    </xf>
    <xf numFmtId="0" fontId="9" fillId="2" borderId="23" xfId="0" applyFont="1" applyFill="1" applyBorder="1" applyAlignment="1">
      <alignment vertical="center" wrapText="1"/>
    </xf>
    <xf numFmtId="0" fontId="1" fillId="0" borderId="0" xfId="0" applyFont="1" applyAlignment="1">
      <alignment vertical="center"/>
    </xf>
    <xf numFmtId="0" fontId="23" fillId="2" borderId="11" xfId="0" applyFont="1" applyFill="1" applyBorder="1" applyAlignment="1">
      <alignment wrapText="1"/>
    </xf>
    <xf numFmtId="0" fontId="24" fillId="0" borderId="13" xfId="0" applyFont="1" applyBorder="1" applyAlignment="1">
      <alignment vertical="top" wrapText="1"/>
    </xf>
    <xf numFmtId="0" fontId="25" fillId="2" borderId="11" xfId="0" applyFont="1" applyFill="1" applyBorder="1" applyAlignment="1">
      <alignment wrapText="1"/>
    </xf>
    <xf numFmtId="0" fontId="25" fillId="2" borderId="21" xfId="0" applyFont="1" applyFill="1" applyBorder="1" applyAlignment="1">
      <alignment wrapText="1"/>
    </xf>
    <xf numFmtId="0" fontId="24" fillId="0" borderId="22" xfId="0" applyFont="1" applyBorder="1" applyAlignment="1">
      <alignment vertical="top" wrapText="1"/>
    </xf>
    <xf numFmtId="0" fontId="22" fillId="0" borderId="5" xfId="0" applyFont="1" applyBorder="1" applyAlignment="1">
      <alignment wrapText="1"/>
    </xf>
    <xf numFmtId="0" fontId="1" fillId="0" borderId="1" xfId="0" applyFont="1" applyBorder="1"/>
    <xf numFmtId="0" fontId="6" fillId="0" borderId="6" xfId="0" applyFont="1" applyBorder="1"/>
    <xf numFmtId="0" fontId="6" fillId="0" borderId="7" xfId="0" applyFont="1" applyBorder="1"/>
    <xf numFmtId="165" fontId="1" fillId="0" borderId="11" xfId="0" applyNumberFormat="1" applyFont="1" applyBorder="1" applyAlignment="1">
      <alignment horizontal="center" vertical="center" wrapText="1"/>
    </xf>
    <xf numFmtId="0" fontId="6" fillId="0" borderId="13" xfId="0" applyFont="1" applyBorder="1"/>
    <xf numFmtId="164" fontId="1" fillId="0" borderId="15" xfId="0" applyNumberFormat="1" applyFont="1" applyBorder="1" applyAlignment="1">
      <alignment horizontal="center" vertical="center" wrapText="1"/>
    </xf>
    <xf numFmtId="0" fontId="6" fillId="0" borderId="14" xfId="0" applyFont="1" applyBorder="1"/>
    <xf numFmtId="1" fontId="1" fillId="0" borderId="11" xfId="0" applyNumberFormat="1" applyFont="1" applyBorder="1" applyAlignment="1">
      <alignment horizontal="center" vertical="center"/>
    </xf>
    <xf numFmtId="0" fontId="8" fillId="0" borderId="0" xfId="0" applyFont="1"/>
    <xf numFmtId="0" fontId="0" fillId="0" borderId="0" xfId="0"/>
    <xf numFmtId="165" fontId="9" fillId="3" borderId="8" xfId="0" applyNumberFormat="1" applyFont="1" applyFill="1" applyBorder="1" applyAlignment="1">
      <alignment horizontal="center" vertical="center" wrapText="1"/>
    </xf>
    <xf numFmtId="0" fontId="6" fillId="0" borderId="9" xfId="0" applyFont="1" applyBorder="1"/>
    <xf numFmtId="0" fontId="6" fillId="0" borderId="10" xfId="0" applyFont="1" applyBorder="1"/>
    <xf numFmtId="165" fontId="13" fillId="6" borderId="8" xfId="0" applyNumberFormat="1"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1" xfId="0" applyFont="1" applyBorder="1" applyAlignment="1">
      <alignment wrapText="1"/>
    </xf>
    <xf numFmtId="0" fontId="11" fillId="0" borderId="1" xfId="0" applyFont="1" applyBorder="1" applyAlignment="1">
      <alignment wrapText="1"/>
    </xf>
    <xf numFmtId="165" fontId="12" fillId="3" borderId="2" xfId="0" applyNumberFormat="1" applyFont="1" applyFill="1" applyBorder="1" applyAlignment="1">
      <alignment horizontal="left" wrapText="1"/>
    </xf>
    <xf numFmtId="0" fontId="6" fillId="0" borderId="3" xfId="0" applyFont="1" applyBorder="1"/>
    <xf numFmtId="164" fontId="9" fillId="6" borderId="2" xfId="0" applyNumberFormat="1" applyFont="1" applyFill="1" applyBorder="1" applyAlignment="1">
      <alignment wrapText="1"/>
    </xf>
    <xf numFmtId="0" fontId="1" fillId="0" borderId="6" xfId="0" applyFont="1" applyBorder="1"/>
    <xf numFmtId="0" fontId="3" fillId="0" borderId="1" xfId="0" applyFont="1" applyBorder="1"/>
    <xf numFmtId="165" fontId="1" fillId="5" borderId="11" xfId="0" applyNumberFormat="1" applyFont="1" applyFill="1" applyBorder="1" applyAlignment="1">
      <alignment horizontal="center" vertical="center" wrapText="1"/>
    </xf>
    <xf numFmtId="0" fontId="1" fillId="0" borderId="1" xfId="0" applyFont="1" applyBorder="1" applyAlignment="1">
      <alignment vertical="top" wrapText="1"/>
    </xf>
    <xf numFmtId="165" fontId="22" fillId="0" borderId="11" xfId="0" applyNumberFormat="1" applyFont="1" applyBorder="1" applyAlignment="1">
      <alignment horizontal="center" vertical="center" wrapText="1"/>
    </xf>
    <xf numFmtId="165" fontId="1" fillId="0" borderId="19" xfId="0" applyNumberFormat="1" applyFont="1" applyBorder="1" applyAlignment="1">
      <alignment horizontal="center" vertical="center" wrapText="1"/>
    </xf>
    <xf numFmtId="0" fontId="6" fillId="0" borderId="20" xfId="0" applyFont="1" applyBorder="1"/>
    <xf numFmtId="164" fontId="1" fillId="0" borderId="12" xfId="0" applyNumberFormat="1" applyFont="1" applyBorder="1" applyAlignment="1">
      <alignment horizontal="center" vertical="center" wrapText="1"/>
    </xf>
    <xf numFmtId="0" fontId="1" fillId="0" borderId="15" xfId="0" applyFont="1" applyBorder="1" applyAlignment="1">
      <alignment vertical="top" wrapText="1"/>
    </xf>
    <xf numFmtId="0" fontId="1" fillId="0" borderId="15" xfId="0" applyFont="1" applyBorder="1"/>
    <xf numFmtId="165" fontId="1" fillId="0" borderId="16" xfId="0" applyNumberFormat="1" applyFont="1" applyBorder="1" applyAlignment="1">
      <alignment horizontal="center" vertical="center" wrapText="1"/>
    </xf>
    <xf numFmtId="0" fontId="6" fillId="0" borderId="18" xfId="0" applyFont="1" applyBorder="1"/>
    <xf numFmtId="0" fontId="11" fillId="0" borderId="15" xfId="0" applyFont="1" applyBorder="1"/>
    <xf numFmtId="0" fontId="1" fillId="0" borderId="1" xfId="0" applyFont="1" applyBorder="1" applyAlignment="1">
      <alignment vertical="center" wrapText="1"/>
    </xf>
    <xf numFmtId="165" fontId="4"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5" fillId="2" borderId="2" xfId="0" applyFont="1" applyFill="1" applyBorder="1" applyAlignment="1">
      <alignment horizontal="right" vertical="center" wrapText="1"/>
    </xf>
    <xf numFmtId="0" fontId="6" fillId="0" borderId="4" xfId="0" applyFont="1" applyBorder="1"/>
    <xf numFmtId="164" fontId="8" fillId="0" borderId="0" xfId="0" applyNumberFormat="1" applyFont="1" applyAlignment="1">
      <alignment wrapText="1"/>
    </xf>
    <xf numFmtId="0" fontId="11" fillId="0" borderId="1" xfId="0" applyFont="1" applyBorder="1" applyAlignment="1">
      <alignment vertical="center" wrapText="1"/>
    </xf>
    <xf numFmtId="165" fontId="1" fillId="4" borderId="11" xfId="0" applyNumberFormat="1" applyFont="1" applyFill="1" applyBorder="1" applyAlignment="1">
      <alignment horizontal="center" vertical="center" wrapText="1"/>
    </xf>
    <xf numFmtId="0" fontId="17" fillId="0" borderId="0" xfId="0" applyFont="1" applyAlignment="1">
      <alignment horizontal="center" vertical="center" wrapText="1"/>
    </xf>
    <xf numFmtId="0" fontId="18" fillId="2" borderId="0" xfId="0" applyFont="1" applyFill="1" applyAlignment="1">
      <alignment horizontal="left" vertical="center" wrapText="1"/>
    </xf>
    <xf numFmtId="0" fontId="19" fillId="0" borderId="27" xfId="0" applyFont="1" applyBorder="1" applyAlignment="1">
      <alignment horizontal="center" wrapText="1"/>
    </xf>
    <xf numFmtId="0" fontId="6" fillId="0" borderId="27" xfId="0" applyFont="1" applyBorder="1"/>
    <xf numFmtId="165" fontId="16" fillId="2" borderId="0" xfId="0" applyNumberFormat="1" applyFont="1" applyFill="1" applyAlignment="1">
      <alignment horizontal="center" vertical="center" wrapText="1"/>
    </xf>
    <xf numFmtId="165" fontId="14" fillId="2" borderId="27" xfId="0" applyNumberFormat="1" applyFont="1" applyFill="1" applyBorder="1" applyAlignment="1">
      <alignment horizontal="center" wrapText="1"/>
    </xf>
    <xf numFmtId="0" fontId="14" fillId="2" borderId="27" xfId="0" applyFont="1" applyFill="1" applyBorder="1" applyAlignment="1">
      <alignment horizontal="center" wrapText="1"/>
    </xf>
    <xf numFmtId="165" fontId="14" fillId="2" borderId="28" xfId="0" applyNumberFormat="1" applyFont="1" applyFill="1" applyBorder="1" applyAlignment="1">
      <alignment horizontal="center" wrapText="1"/>
    </xf>
    <xf numFmtId="0" fontId="6" fillId="0" borderId="28" xfId="0" applyFont="1" applyBorder="1"/>
    <xf numFmtId="0" fontId="15" fillId="2" borderId="0" xfId="0" applyFont="1" applyFill="1" applyAlignment="1">
      <alignment horizontal="right" vertical="center" wrapText="1"/>
    </xf>
    <xf numFmtId="165" fontId="9" fillId="3" borderId="24" xfId="0" applyNumberFormat="1" applyFont="1" applyFill="1" applyBorder="1" applyAlignment="1">
      <alignment horizontal="center" vertical="center" wrapText="1"/>
    </xf>
    <xf numFmtId="0" fontId="6" fillId="0" borderId="25" xfId="0" applyFont="1" applyBorder="1"/>
    <xf numFmtId="0" fontId="6" fillId="0" borderId="26" xfId="0" applyFont="1" applyBorder="1"/>
    <xf numFmtId="0" fontId="11" fillId="0" borderId="1" xfId="0" applyFont="1" applyBorder="1"/>
    <xf numFmtId="0" fontId="1" fillId="0" borderId="1" xfId="0" applyFont="1" applyBorder="1" applyAlignment="1">
      <alignment vertical="center"/>
    </xf>
    <xf numFmtId="0" fontId="8" fillId="0" borderId="0" xfId="0" applyFont="1" applyAlignment="1">
      <alignment vertical="center"/>
    </xf>
    <xf numFmtId="165" fontId="12" fillId="3" borderId="2" xfId="0" applyNumberFormat="1" applyFont="1" applyFill="1" applyBorder="1" applyAlignment="1">
      <alignment horizontal="left" vertical="center" wrapText="1"/>
    </xf>
    <xf numFmtId="164" fontId="9" fillId="6" borderId="2" xfId="0" applyNumberFormat="1" applyFont="1" applyFill="1" applyBorder="1" applyAlignment="1">
      <alignment vertical="center" wrapText="1"/>
    </xf>
    <xf numFmtId="0" fontId="1" fillId="0" borderId="6" xfId="0" applyFont="1" applyBorder="1" applyAlignment="1">
      <alignment vertical="center"/>
    </xf>
    <xf numFmtId="0" fontId="3" fillId="0" borderId="1" xfId="0" applyFont="1" applyBorder="1" applyAlignment="1">
      <alignment vertical="center"/>
    </xf>
    <xf numFmtId="0" fontId="1" fillId="0" borderId="15" xfId="0" applyFont="1" applyBorder="1" applyAlignment="1">
      <alignment vertical="center" wrapText="1"/>
    </xf>
    <xf numFmtId="0" fontId="1" fillId="0" borderId="15" xfId="0" applyFont="1" applyBorder="1" applyAlignment="1">
      <alignment vertical="center"/>
    </xf>
    <xf numFmtId="0" fontId="11" fillId="0" borderId="15" xfId="0" applyFont="1" applyBorder="1" applyAlignment="1">
      <alignment vertical="center"/>
    </xf>
    <xf numFmtId="164" fontId="8" fillId="0" borderId="0" xfId="0" applyNumberFormat="1" applyFont="1" applyAlignment="1">
      <alignment vertical="center" wrapText="1"/>
    </xf>
    <xf numFmtId="0" fontId="1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72"/>
  <sheetViews>
    <sheetView tabSelected="1" topLeftCell="A106" workbookViewId="0">
      <selection activeCell="H126" sqref="H126"/>
    </sheetView>
  </sheetViews>
  <sheetFormatPr defaultColWidth="12.5703125" defaultRowHeight="15" customHeight="1" outlineLevelRow="3" x14ac:dyDescent="0.2"/>
  <cols>
    <col min="1" max="1" width="89.42578125" customWidth="1"/>
    <col min="3" max="3" width="10.28515625" customWidth="1"/>
    <col min="4" max="5" width="10.42578125" customWidth="1"/>
    <col min="6" max="6" width="26.28515625" customWidth="1"/>
  </cols>
  <sheetData>
    <row r="1" spans="1:6" ht="15.75" customHeight="1" x14ac:dyDescent="0.2">
      <c r="A1" s="1"/>
      <c r="B1" s="2" t="s">
        <v>0</v>
      </c>
      <c r="C1" s="2" t="s">
        <v>1</v>
      </c>
      <c r="D1" s="3" t="s">
        <v>2</v>
      </c>
      <c r="E1" s="2" t="s">
        <v>3</v>
      </c>
      <c r="F1" s="2" t="s">
        <v>4</v>
      </c>
    </row>
    <row r="2" spans="1:6" ht="23.25" customHeight="1" x14ac:dyDescent="0.2">
      <c r="A2" s="4" t="s">
        <v>5</v>
      </c>
      <c r="B2" s="5">
        <f>SUM(E10:E982)</f>
        <v>0</v>
      </c>
      <c r="C2" s="5">
        <f>B2*E2</f>
        <v>0</v>
      </c>
      <c r="D2" s="5">
        <f>C2+E4+E5</f>
        <v>0</v>
      </c>
      <c r="E2" s="6"/>
      <c r="F2" s="7" t="e">
        <f>B986/B2</f>
        <v>#DIV/0!</v>
      </c>
    </row>
    <row r="3" spans="1:6" ht="101.25" customHeight="1" x14ac:dyDescent="0.2">
      <c r="A3" s="110" t="s">
        <v>6</v>
      </c>
      <c r="B3" s="111">
        <f>D2</f>
        <v>0</v>
      </c>
      <c r="C3" s="112">
        <v>1</v>
      </c>
      <c r="D3" s="94"/>
      <c r="E3" s="113"/>
      <c r="F3" s="8" t="s">
        <v>7</v>
      </c>
    </row>
    <row r="4" spans="1:6" ht="15.75" customHeight="1" x14ac:dyDescent="0.2">
      <c r="A4" s="77"/>
      <c r="B4" s="77"/>
      <c r="C4" s="9"/>
      <c r="D4" s="10" t="s">
        <v>8</v>
      </c>
      <c r="E4" s="11">
        <f>(C2+E5)*0.087</f>
        <v>0</v>
      </c>
      <c r="F4" s="12">
        <f>B984-(SUM(E959,E904,E895,E861,E845,E841,E837,E835,E830,E826,E822,E818,E759,E740,E736,E732,E730,E725,E721,E717,E713,E654,E639,E637,E635,E633,E617,E613,E609,E605,E601,E597,E521,E344,E340,E338,E336,E334,E330,E283,E279,E273,E269,E265,E259,E255,E251,E247,E243,E237,E235,E227,E225,E223,E221,E219,E217,E215,E231))</f>
        <v>0</v>
      </c>
    </row>
    <row r="5" spans="1:6" ht="15.75" customHeight="1" x14ac:dyDescent="0.2">
      <c r="A5" s="77"/>
      <c r="B5" s="77"/>
      <c r="C5" s="13"/>
      <c r="D5" s="14" t="s">
        <v>9</v>
      </c>
      <c r="E5" s="11"/>
      <c r="F5" s="8" t="s">
        <v>10</v>
      </c>
    </row>
    <row r="6" spans="1:6" ht="45" customHeight="1" x14ac:dyDescent="0.2">
      <c r="A6" s="78"/>
      <c r="B6" s="78"/>
      <c r="C6" s="15">
        <f>E2*SUM(E970:E1016)</f>
        <v>0</v>
      </c>
      <c r="D6" s="15" t="s">
        <v>11</v>
      </c>
      <c r="E6" s="15">
        <f>C6*0.087</f>
        <v>0</v>
      </c>
      <c r="F6" s="12">
        <f>F4-(F4*B985)</f>
        <v>0</v>
      </c>
    </row>
    <row r="7" spans="1:6" ht="1.5" customHeight="1" x14ac:dyDescent="0.2">
      <c r="A7" s="114">
        <v>1</v>
      </c>
      <c r="B7" s="85"/>
      <c r="C7" s="85"/>
      <c r="D7" s="85"/>
      <c r="E7" s="85"/>
      <c r="F7" s="16"/>
    </row>
    <row r="8" spans="1:6" ht="11.25" customHeight="1" x14ac:dyDescent="0.2">
      <c r="A8" s="84" t="s">
        <v>12</v>
      </c>
      <c r="B8" s="85"/>
      <c r="C8" s="85"/>
      <c r="D8" s="85"/>
      <c r="E8" s="85"/>
      <c r="F8" s="17"/>
    </row>
    <row r="9" spans="1:6" ht="22.5" customHeight="1" collapsed="1" x14ac:dyDescent="0.2">
      <c r="A9" s="86" t="s">
        <v>13</v>
      </c>
      <c r="B9" s="87"/>
      <c r="C9" s="87"/>
      <c r="D9" s="88"/>
      <c r="E9" s="18"/>
      <c r="F9" s="18">
        <f>SUM(E10:E15)</f>
        <v>0</v>
      </c>
    </row>
    <row r="10" spans="1:6" ht="22.5" hidden="1" customHeight="1" outlineLevel="1" x14ac:dyDescent="0.25">
      <c r="A10" s="19" t="s">
        <v>14</v>
      </c>
      <c r="B10" s="79">
        <v>6000</v>
      </c>
      <c r="C10" s="79" t="s">
        <v>15</v>
      </c>
      <c r="D10" s="83"/>
      <c r="E10" s="103">
        <f>B10*D10</f>
        <v>0</v>
      </c>
      <c r="F10" s="109" t="s">
        <v>16</v>
      </c>
    </row>
    <row r="11" spans="1:6" ht="15.75" hidden="1" customHeight="1" outlineLevel="1" x14ac:dyDescent="0.2">
      <c r="A11" s="23" t="s">
        <v>17</v>
      </c>
      <c r="B11" s="80"/>
      <c r="C11" s="80"/>
      <c r="D11" s="80"/>
      <c r="E11" s="82"/>
      <c r="F11" s="78"/>
    </row>
    <row r="12" spans="1:6" ht="15.75" hidden="1" customHeight="1" outlineLevel="2" x14ac:dyDescent="0.25">
      <c r="A12" s="19" t="s">
        <v>18</v>
      </c>
      <c r="B12" s="79">
        <v>450</v>
      </c>
      <c r="C12" s="79" t="s">
        <v>15</v>
      </c>
      <c r="D12" s="83"/>
      <c r="E12" s="103">
        <f>B12*D12</f>
        <v>0</v>
      </c>
      <c r="F12" s="24"/>
    </row>
    <row r="13" spans="1:6" ht="15.75" hidden="1" customHeight="1" outlineLevel="2" x14ac:dyDescent="0.2">
      <c r="A13" s="23" t="s">
        <v>19</v>
      </c>
      <c r="B13" s="80"/>
      <c r="C13" s="80"/>
      <c r="D13" s="80"/>
      <c r="E13" s="82"/>
      <c r="F13" s="24"/>
    </row>
    <row r="14" spans="1:6" ht="22.5" hidden="1" customHeight="1" outlineLevel="1" x14ac:dyDescent="0.25">
      <c r="A14" s="19" t="s">
        <v>20</v>
      </c>
      <c r="B14" s="116"/>
      <c r="C14" s="79" t="s">
        <v>15</v>
      </c>
      <c r="D14" s="83"/>
      <c r="E14" s="81">
        <f>B14*D14</f>
        <v>0</v>
      </c>
      <c r="F14" s="115" t="s">
        <v>21</v>
      </c>
    </row>
    <row r="15" spans="1:6" ht="26.25" hidden="1" customHeight="1" outlineLevel="1" x14ac:dyDescent="0.2">
      <c r="A15" s="23" t="s">
        <v>22</v>
      </c>
      <c r="B15" s="80"/>
      <c r="C15" s="80"/>
      <c r="D15" s="80"/>
      <c r="E15" s="82"/>
      <c r="F15" s="78"/>
    </row>
    <row r="16" spans="1:6" ht="22.5" hidden="1" customHeight="1" outlineLevel="1" x14ac:dyDescent="0.25">
      <c r="A16" s="19" t="s">
        <v>23</v>
      </c>
      <c r="B16" s="79">
        <v>0</v>
      </c>
      <c r="C16" s="79" t="s">
        <v>15</v>
      </c>
      <c r="D16" s="83"/>
      <c r="E16" s="81"/>
      <c r="F16" s="76"/>
    </row>
    <row r="17" spans="1:6" ht="51" hidden="1" customHeight="1" outlineLevel="1" x14ac:dyDescent="0.2">
      <c r="A17" s="23" t="s">
        <v>24</v>
      </c>
      <c r="B17" s="80"/>
      <c r="C17" s="80"/>
      <c r="D17" s="80"/>
      <c r="E17" s="82"/>
      <c r="F17" s="78"/>
    </row>
    <row r="18" spans="1:6" ht="11.25" customHeight="1" x14ac:dyDescent="0.2">
      <c r="A18" s="84" t="s">
        <v>12</v>
      </c>
      <c r="B18" s="85"/>
      <c r="C18" s="85"/>
      <c r="D18" s="85"/>
      <c r="E18" s="85"/>
      <c r="F18" s="17"/>
    </row>
    <row r="19" spans="1:6" ht="22.5" customHeight="1" x14ac:dyDescent="0.2">
      <c r="A19" s="86" t="s">
        <v>25</v>
      </c>
      <c r="B19" s="87"/>
      <c r="C19" s="87"/>
      <c r="D19" s="88"/>
      <c r="E19" s="26"/>
      <c r="F19" s="27">
        <f>SUM(E20:E25,E30:E45)</f>
        <v>0</v>
      </c>
    </row>
    <row r="20" spans="1:6" ht="22.5" customHeight="1" outlineLevel="2" x14ac:dyDescent="0.25">
      <c r="A20" s="19" t="s">
        <v>26</v>
      </c>
      <c r="B20" s="79">
        <v>1200</v>
      </c>
      <c r="C20" s="79" t="s">
        <v>15</v>
      </c>
      <c r="D20" s="83"/>
      <c r="E20" s="103">
        <f>B20*D20</f>
        <v>0</v>
      </c>
      <c r="F20" s="105" t="s">
        <v>27</v>
      </c>
    </row>
    <row r="21" spans="1:6" ht="15.75" customHeight="1" outlineLevel="2" x14ac:dyDescent="0.2">
      <c r="A21" s="23" t="s">
        <v>28</v>
      </c>
      <c r="B21" s="80"/>
      <c r="C21" s="80"/>
      <c r="D21" s="80"/>
      <c r="E21" s="82"/>
      <c r="F21" s="82"/>
    </row>
    <row r="22" spans="1:6" ht="22.5" customHeight="1" outlineLevel="2" x14ac:dyDescent="0.25">
      <c r="A22" s="19" t="s">
        <v>29</v>
      </c>
      <c r="B22" s="79">
        <v>1000</v>
      </c>
      <c r="C22" s="79" t="s">
        <v>15</v>
      </c>
      <c r="D22" s="83"/>
      <c r="E22" s="103">
        <f>B22*D22</f>
        <v>0</v>
      </c>
      <c r="F22" s="105" t="s">
        <v>27</v>
      </c>
    </row>
    <row r="23" spans="1:6" ht="24.75" customHeight="1" outlineLevel="2" x14ac:dyDescent="0.2">
      <c r="A23" s="23" t="s">
        <v>30</v>
      </c>
      <c r="B23" s="80"/>
      <c r="C23" s="80"/>
      <c r="D23" s="80"/>
      <c r="E23" s="82"/>
      <c r="F23" s="82"/>
    </row>
    <row r="24" spans="1:6" ht="22.5" customHeight="1" outlineLevel="2" x14ac:dyDescent="0.25">
      <c r="A24" s="19" t="s">
        <v>31</v>
      </c>
      <c r="B24" s="106" t="s">
        <v>32</v>
      </c>
      <c r="C24" s="79" t="s">
        <v>15</v>
      </c>
      <c r="D24" s="83"/>
      <c r="E24" s="103">
        <f>SUM(F26:F29)</f>
        <v>0</v>
      </c>
      <c r="F24" s="108" t="s">
        <v>33</v>
      </c>
    </row>
    <row r="25" spans="1:6" ht="15.75" customHeight="1" outlineLevel="2" x14ac:dyDescent="0.2">
      <c r="A25" s="28" t="s">
        <v>34</v>
      </c>
      <c r="B25" s="107"/>
      <c r="C25" s="80"/>
      <c r="D25" s="80"/>
      <c r="E25" s="82"/>
      <c r="F25" s="82"/>
    </row>
    <row r="26" spans="1:6" ht="15.75" customHeight="1" outlineLevel="3" x14ac:dyDescent="0.2">
      <c r="A26" s="28" t="s">
        <v>35</v>
      </c>
      <c r="B26" s="20">
        <v>70</v>
      </c>
      <c r="C26" s="20" t="s">
        <v>36</v>
      </c>
      <c r="D26" s="29"/>
      <c r="E26" s="21"/>
      <c r="F26" s="30">
        <f t="shared" ref="F26:F29" si="0">B26*D26</f>
        <v>0</v>
      </c>
    </row>
    <row r="27" spans="1:6" ht="15.75" customHeight="1" outlineLevel="3" x14ac:dyDescent="0.2">
      <c r="A27" s="28" t="s">
        <v>37</v>
      </c>
      <c r="B27" s="20">
        <v>10</v>
      </c>
      <c r="C27" s="20" t="s">
        <v>38</v>
      </c>
      <c r="D27" s="29"/>
      <c r="E27" s="21"/>
      <c r="F27" s="30">
        <f t="shared" si="0"/>
        <v>0</v>
      </c>
    </row>
    <row r="28" spans="1:6" ht="15.75" customHeight="1" outlineLevel="3" x14ac:dyDescent="0.2">
      <c r="A28" s="28" t="s">
        <v>39</v>
      </c>
      <c r="B28" s="20">
        <v>10</v>
      </c>
      <c r="C28" s="20" t="s">
        <v>38</v>
      </c>
      <c r="D28" s="29"/>
      <c r="E28" s="21"/>
      <c r="F28" s="30">
        <f t="shared" si="0"/>
        <v>0</v>
      </c>
    </row>
    <row r="29" spans="1:6" ht="15.75" customHeight="1" outlineLevel="3" x14ac:dyDescent="0.2">
      <c r="A29" s="23" t="s">
        <v>40</v>
      </c>
      <c r="B29" s="20">
        <v>40</v>
      </c>
      <c r="C29" s="20" t="s">
        <v>38</v>
      </c>
      <c r="D29" s="29"/>
      <c r="E29" s="21"/>
      <c r="F29" s="30">
        <f t="shared" si="0"/>
        <v>0</v>
      </c>
    </row>
    <row r="30" spans="1:6" ht="22.5" customHeight="1" outlineLevel="2" x14ac:dyDescent="0.25">
      <c r="A30" s="19" t="s">
        <v>41</v>
      </c>
      <c r="B30" s="79">
        <v>6</v>
      </c>
      <c r="C30" s="79" t="s">
        <v>38</v>
      </c>
      <c r="D30" s="83"/>
      <c r="E30" s="103">
        <f>B30*D30</f>
        <v>0</v>
      </c>
      <c r="F30" s="16"/>
    </row>
    <row r="31" spans="1:6" ht="15.75" customHeight="1" outlineLevel="2" x14ac:dyDescent="0.2">
      <c r="A31" s="23" t="s">
        <v>42</v>
      </c>
      <c r="B31" s="80"/>
      <c r="C31" s="80"/>
      <c r="D31" s="80"/>
      <c r="E31" s="82"/>
      <c r="F31" s="16"/>
    </row>
    <row r="32" spans="1:6" ht="22.5" customHeight="1" outlineLevel="2" x14ac:dyDescent="0.25">
      <c r="A32" s="70" t="s">
        <v>43</v>
      </c>
      <c r="B32" s="79">
        <v>0.5</v>
      </c>
      <c r="C32" s="79" t="s">
        <v>38</v>
      </c>
      <c r="D32" s="83"/>
      <c r="E32" s="103">
        <f>B32*D32</f>
        <v>0</v>
      </c>
      <c r="F32" s="16"/>
    </row>
    <row r="33" spans="1:6" ht="15.75" customHeight="1" outlineLevel="2" x14ac:dyDescent="0.2">
      <c r="A33" s="23" t="s">
        <v>44</v>
      </c>
      <c r="B33" s="80"/>
      <c r="C33" s="80"/>
      <c r="D33" s="80"/>
      <c r="E33" s="82"/>
      <c r="F33" s="16"/>
    </row>
    <row r="34" spans="1:6" ht="22.5" customHeight="1" outlineLevel="2" x14ac:dyDescent="0.25">
      <c r="A34" s="19" t="s">
        <v>45</v>
      </c>
      <c r="B34" s="79">
        <v>2.5</v>
      </c>
      <c r="C34" s="101" t="s">
        <v>38</v>
      </c>
      <c r="D34" s="83"/>
      <c r="E34" s="103">
        <f>B34*D34</f>
        <v>0</v>
      </c>
      <c r="F34" s="16"/>
    </row>
    <row r="35" spans="1:6" ht="15.75" customHeight="1" outlineLevel="2" x14ac:dyDescent="0.2">
      <c r="A35" s="23" t="s">
        <v>46</v>
      </c>
      <c r="B35" s="80"/>
      <c r="C35" s="102"/>
      <c r="D35" s="80"/>
      <c r="E35" s="82"/>
      <c r="F35" s="16"/>
    </row>
    <row r="36" spans="1:6" ht="22.5" customHeight="1" outlineLevel="2" x14ac:dyDescent="0.25">
      <c r="A36" s="70" t="s">
        <v>47</v>
      </c>
      <c r="B36" s="79">
        <v>2</v>
      </c>
      <c r="C36" s="101" t="s">
        <v>38</v>
      </c>
      <c r="D36" s="83"/>
      <c r="E36" s="103">
        <f>B36*D36</f>
        <v>0</v>
      </c>
      <c r="F36" s="16"/>
    </row>
    <row r="37" spans="1:6" ht="15.75" customHeight="1" outlineLevel="2" x14ac:dyDescent="0.2">
      <c r="A37" s="23" t="s">
        <v>44</v>
      </c>
      <c r="B37" s="80"/>
      <c r="C37" s="102"/>
      <c r="D37" s="80"/>
      <c r="E37" s="82"/>
      <c r="F37" s="16"/>
    </row>
    <row r="38" spans="1:6" ht="22.5" customHeight="1" outlineLevel="2" x14ac:dyDescent="0.25">
      <c r="A38" s="19" t="s">
        <v>48</v>
      </c>
      <c r="B38" s="79">
        <v>1.5</v>
      </c>
      <c r="C38" s="101" t="s">
        <v>38</v>
      </c>
      <c r="D38" s="83"/>
      <c r="E38" s="103">
        <f>B38*D38</f>
        <v>0</v>
      </c>
      <c r="F38" s="16"/>
    </row>
    <row r="39" spans="1:6" ht="15.75" customHeight="1" outlineLevel="2" x14ac:dyDescent="0.2">
      <c r="A39" s="23" t="s">
        <v>49</v>
      </c>
      <c r="B39" s="80"/>
      <c r="C39" s="102"/>
      <c r="D39" s="80"/>
      <c r="E39" s="82"/>
      <c r="F39" s="16"/>
    </row>
    <row r="40" spans="1:6" ht="22.5" customHeight="1" outlineLevel="2" x14ac:dyDescent="0.25">
      <c r="A40" s="19" t="s">
        <v>50</v>
      </c>
      <c r="B40" s="79">
        <v>6</v>
      </c>
      <c r="C40" s="101" t="s">
        <v>38</v>
      </c>
      <c r="D40" s="83"/>
      <c r="E40" s="103">
        <f>B40*D40</f>
        <v>0</v>
      </c>
      <c r="F40" s="16"/>
    </row>
    <row r="41" spans="1:6" ht="15.75" customHeight="1" outlineLevel="2" x14ac:dyDescent="0.2">
      <c r="A41" s="23" t="s">
        <v>51</v>
      </c>
      <c r="B41" s="80"/>
      <c r="C41" s="102"/>
      <c r="D41" s="80"/>
      <c r="E41" s="82"/>
      <c r="F41" s="16"/>
    </row>
    <row r="42" spans="1:6" ht="22.5" customHeight="1" outlineLevel="2" x14ac:dyDescent="0.25">
      <c r="A42" s="19" t="s">
        <v>52</v>
      </c>
      <c r="B42" s="79">
        <v>3500</v>
      </c>
      <c r="C42" s="101" t="s">
        <v>15</v>
      </c>
      <c r="D42" s="83"/>
      <c r="E42" s="103">
        <f>B42*D42</f>
        <v>0</v>
      </c>
      <c r="F42" s="16"/>
    </row>
    <row r="43" spans="1:6" ht="27.75" customHeight="1" outlineLevel="2" x14ac:dyDescent="0.2">
      <c r="A43" s="23" t="s">
        <v>53</v>
      </c>
      <c r="B43" s="80"/>
      <c r="C43" s="102"/>
      <c r="D43" s="80"/>
      <c r="E43" s="82"/>
      <c r="F43" s="16"/>
    </row>
    <row r="44" spans="1:6" ht="22.5" customHeight="1" outlineLevel="1" x14ac:dyDescent="0.25">
      <c r="A44" s="19" t="s">
        <v>54</v>
      </c>
      <c r="B44" s="79">
        <v>1200</v>
      </c>
      <c r="C44" s="101" t="s">
        <v>15</v>
      </c>
      <c r="D44" s="83"/>
      <c r="E44" s="103">
        <f>B44*D44</f>
        <v>0</v>
      </c>
      <c r="F44" s="104" t="s">
        <v>55</v>
      </c>
    </row>
    <row r="45" spans="1:6" ht="15.75" customHeight="1" outlineLevel="1" x14ac:dyDescent="0.2">
      <c r="A45" s="23" t="s">
        <v>56</v>
      </c>
      <c r="B45" s="80"/>
      <c r="C45" s="102"/>
      <c r="D45" s="80"/>
      <c r="E45" s="82"/>
      <c r="F45" s="82"/>
    </row>
    <row r="46" spans="1:6" ht="11.25" customHeight="1" x14ac:dyDescent="0.2">
      <c r="A46" s="84" t="s">
        <v>12</v>
      </c>
      <c r="B46" s="85"/>
      <c r="C46" s="85"/>
      <c r="D46" s="85"/>
      <c r="E46" s="85"/>
      <c r="F46" s="17"/>
    </row>
    <row r="47" spans="1:6" ht="22.5" customHeight="1" collapsed="1" x14ac:dyDescent="0.2">
      <c r="A47" s="86" t="s">
        <v>57</v>
      </c>
      <c r="B47" s="87"/>
      <c r="C47" s="87"/>
      <c r="D47" s="88"/>
      <c r="E47" s="31"/>
      <c r="F47" s="27">
        <f>SUM(E48:E59)</f>
        <v>0</v>
      </c>
    </row>
    <row r="48" spans="1:6" ht="22.5" hidden="1" customHeight="1" outlineLevel="1" x14ac:dyDescent="0.25">
      <c r="A48" s="19" t="s">
        <v>58</v>
      </c>
      <c r="B48" s="79">
        <v>1</v>
      </c>
      <c r="C48" s="79" t="s">
        <v>59</v>
      </c>
      <c r="D48" s="83"/>
      <c r="E48" s="81">
        <f>B48*D48</f>
        <v>0</v>
      </c>
      <c r="F48" s="32" t="s">
        <v>60</v>
      </c>
    </row>
    <row r="49" spans="1:6" ht="15.75" hidden="1" customHeight="1" outlineLevel="1" x14ac:dyDescent="0.2">
      <c r="A49" s="71" t="s">
        <v>61</v>
      </c>
      <c r="B49" s="80"/>
      <c r="C49" s="80"/>
      <c r="D49" s="80"/>
      <c r="E49" s="82"/>
      <c r="F49" s="76" t="s">
        <v>62</v>
      </c>
    </row>
    <row r="50" spans="1:6" ht="22.5" hidden="1" customHeight="1" outlineLevel="1" x14ac:dyDescent="0.25">
      <c r="A50" s="72" t="s">
        <v>63</v>
      </c>
      <c r="B50" s="79">
        <v>20</v>
      </c>
      <c r="C50" s="79" t="s">
        <v>59</v>
      </c>
      <c r="D50" s="83"/>
      <c r="E50" s="81">
        <f>B50*D50</f>
        <v>0</v>
      </c>
      <c r="F50" s="77"/>
    </row>
    <row r="51" spans="1:6" ht="24" hidden="1" customHeight="1" outlineLevel="1" x14ac:dyDescent="0.2">
      <c r="A51" s="71" t="s">
        <v>64</v>
      </c>
      <c r="B51" s="80"/>
      <c r="C51" s="80"/>
      <c r="D51" s="80"/>
      <c r="E51" s="82"/>
      <c r="F51" s="78"/>
    </row>
    <row r="52" spans="1:6" ht="22.5" hidden="1" customHeight="1" outlineLevel="2" x14ac:dyDescent="0.25">
      <c r="A52" s="73" t="s">
        <v>65</v>
      </c>
      <c r="B52" s="79">
        <v>50</v>
      </c>
      <c r="C52" s="79" t="s">
        <v>36</v>
      </c>
      <c r="D52" s="83"/>
      <c r="E52" s="90">
        <f>B52*D52</f>
        <v>0</v>
      </c>
      <c r="F52" s="91" t="s">
        <v>66</v>
      </c>
    </row>
    <row r="53" spans="1:6" ht="23.25" hidden="1" customHeight="1" outlineLevel="2" x14ac:dyDescent="0.2">
      <c r="A53" s="74" t="s">
        <v>67</v>
      </c>
      <c r="B53" s="80"/>
      <c r="C53" s="80"/>
      <c r="D53" s="80"/>
      <c r="E53" s="78"/>
      <c r="F53" s="77"/>
    </row>
    <row r="54" spans="1:6" ht="22.5" hidden="1" customHeight="1" outlineLevel="2" x14ac:dyDescent="0.25">
      <c r="A54" s="33" t="s">
        <v>68</v>
      </c>
      <c r="B54" s="79">
        <v>400</v>
      </c>
      <c r="C54" s="79" t="s">
        <v>15</v>
      </c>
      <c r="D54" s="83"/>
      <c r="E54" s="90">
        <f>B54*D54</f>
        <v>0</v>
      </c>
      <c r="F54" s="77"/>
    </row>
    <row r="55" spans="1:6" ht="26.25" hidden="1" customHeight="1" outlineLevel="2" x14ac:dyDescent="0.2">
      <c r="A55" s="35" t="s">
        <v>69</v>
      </c>
      <c r="B55" s="80"/>
      <c r="C55" s="80"/>
      <c r="D55" s="80"/>
      <c r="E55" s="78"/>
      <c r="F55" s="78"/>
    </row>
    <row r="56" spans="1:6" ht="22.5" hidden="1" customHeight="1" outlineLevel="2" x14ac:dyDescent="0.25">
      <c r="A56" s="33" t="s">
        <v>70</v>
      </c>
      <c r="B56" s="79">
        <v>50</v>
      </c>
      <c r="C56" s="79" t="s">
        <v>36</v>
      </c>
      <c r="D56" s="83"/>
      <c r="E56" s="90">
        <f>B56*D56</f>
        <v>0</v>
      </c>
      <c r="F56" s="75" t="s">
        <v>71</v>
      </c>
    </row>
    <row r="57" spans="1:6" ht="26.25" hidden="1" customHeight="1" outlineLevel="2" x14ac:dyDescent="0.2">
      <c r="A57" s="35" t="s">
        <v>72</v>
      </c>
      <c r="B57" s="80"/>
      <c r="C57" s="80"/>
      <c r="D57" s="80"/>
      <c r="E57" s="78"/>
    </row>
    <row r="58" spans="1:6" ht="22.5" hidden="1" customHeight="1" outlineLevel="2" x14ac:dyDescent="0.25">
      <c r="A58" s="73" t="s">
        <v>73</v>
      </c>
      <c r="B58" s="79">
        <v>200</v>
      </c>
      <c r="C58" s="79" t="s">
        <v>36</v>
      </c>
      <c r="D58" s="83"/>
      <c r="E58" s="90">
        <f>B58*D58</f>
        <v>0</v>
      </c>
      <c r="F58" s="32" t="s">
        <v>74</v>
      </c>
    </row>
    <row r="59" spans="1:6" ht="24.75" hidden="1" customHeight="1" outlineLevel="2" x14ac:dyDescent="0.2">
      <c r="A59" s="74" t="s">
        <v>75</v>
      </c>
      <c r="B59" s="80"/>
      <c r="C59" s="80"/>
      <c r="D59" s="80"/>
      <c r="E59" s="78"/>
      <c r="F59" s="25"/>
    </row>
    <row r="60" spans="1:6" ht="11.25" customHeight="1" x14ac:dyDescent="0.2">
      <c r="A60" s="84" t="s">
        <v>12</v>
      </c>
      <c r="B60" s="85"/>
      <c r="C60" s="85"/>
      <c r="D60" s="85"/>
      <c r="E60" s="85"/>
      <c r="F60" s="17"/>
    </row>
    <row r="61" spans="1:6" ht="22.5" customHeight="1" collapsed="1" x14ac:dyDescent="0.2">
      <c r="A61" s="86" t="s">
        <v>76</v>
      </c>
      <c r="B61" s="87"/>
      <c r="C61" s="87"/>
      <c r="D61" s="88"/>
      <c r="E61" s="31"/>
      <c r="F61" s="27">
        <f>SUM(E62:E77)</f>
        <v>0</v>
      </c>
    </row>
    <row r="62" spans="1:6" ht="22.5" hidden="1" customHeight="1" outlineLevel="1" x14ac:dyDescent="0.25">
      <c r="A62" s="19" t="s">
        <v>77</v>
      </c>
      <c r="B62" s="79">
        <v>12</v>
      </c>
      <c r="C62" s="79" t="s">
        <v>59</v>
      </c>
      <c r="D62" s="83"/>
      <c r="E62" s="81">
        <f>B62*D62</f>
        <v>0</v>
      </c>
      <c r="F62" s="32"/>
    </row>
    <row r="63" spans="1:6" ht="26.25" hidden="1" customHeight="1" outlineLevel="1" x14ac:dyDescent="0.2">
      <c r="A63" s="71" t="s">
        <v>78</v>
      </c>
      <c r="B63" s="80"/>
      <c r="C63" s="80"/>
      <c r="D63" s="80"/>
      <c r="E63" s="82"/>
      <c r="F63" s="32"/>
    </row>
    <row r="64" spans="1:6" ht="22.5" hidden="1" customHeight="1" outlineLevel="2" x14ac:dyDescent="0.25">
      <c r="A64" s="73" t="s">
        <v>79</v>
      </c>
      <c r="B64" s="79">
        <v>19</v>
      </c>
      <c r="C64" s="79" t="s">
        <v>59</v>
      </c>
      <c r="D64" s="83"/>
      <c r="E64" s="90">
        <f>B64*D64</f>
        <v>0</v>
      </c>
      <c r="F64" s="32"/>
    </row>
    <row r="65" spans="1:6" ht="15.75" hidden="1" customHeight="1" outlineLevel="2" x14ac:dyDescent="0.2">
      <c r="A65" s="35" t="s">
        <v>80</v>
      </c>
      <c r="B65" s="80"/>
      <c r="C65" s="80"/>
      <c r="D65" s="80"/>
      <c r="E65" s="78"/>
      <c r="F65" s="32"/>
    </row>
    <row r="66" spans="1:6" ht="22.5" hidden="1" customHeight="1" outlineLevel="2" x14ac:dyDescent="0.25">
      <c r="A66" s="33" t="s">
        <v>81</v>
      </c>
      <c r="B66" s="79">
        <v>12</v>
      </c>
      <c r="C66" s="79" t="s">
        <v>59</v>
      </c>
      <c r="D66" s="83"/>
      <c r="E66" s="90">
        <f>B66*D66</f>
        <v>0</v>
      </c>
      <c r="F66" s="32"/>
    </row>
    <row r="67" spans="1:6" ht="38.25" hidden="1" customHeight="1" outlineLevel="2" x14ac:dyDescent="0.2">
      <c r="A67" s="74" t="s">
        <v>82</v>
      </c>
      <c r="B67" s="80"/>
      <c r="C67" s="80"/>
      <c r="D67" s="80"/>
      <c r="E67" s="78"/>
      <c r="F67" s="32"/>
    </row>
    <row r="68" spans="1:6" ht="22.5" hidden="1" customHeight="1" outlineLevel="2" x14ac:dyDescent="0.25">
      <c r="A68" s="33" t="s">
        <v>83</v>
      </c>
      <c r="B68" s="79">
        <v>3000</v>
      </c>
      <c r="C68" s="79" t="s">
        <v>15</v>
      </c>
      <c r="D68" s="83"/>
      <c r="E68" s="90">
        <f>B68*D68</f>
        <v>0</v>
      </c>
      <c r="F68" s="32"/>
    </row>
    <row r="69" spans="1:6" ht="26.25" hidden="1" customHeight="1" outlineLevel="2" x14ac:dyDescent="0.2">
      <c r="A69" s="74" t="s">
        <v>84</v>
      </c>
      <c r="B69" s="80"/>
      <c r="C69" s="80"/>
      <c r="D69" s="80"/>
      <c r="E69" s="78"/>
      <c r="F69" s="32"/>
    </row>
    <row r="70" spans="1:6" ht="22.5" hidden="1" customHeight="1" outlineLevel="2" x14ac:dyDescent="0.25">
      <c r="A70" s="33" t="s">
        <v>85</v>
      </c>
      <c r="B70" s="79">
        <v>1800</v>
      </c>
      <c r="C70" s="79" t="s">
        <v>15</v>
      </c>
      <c r="D70" s="83"/>
      <c r="E70" s="90">
        <f>B70*D70</f>
        <v>0</v>
      </c>
      <c r="F70" s="32"/>
    </row>
    <row r="71" spans="1:6" ht="27" hidden="1" customHeight="1" outlineLevel="2" x14ac:dyDescent="0.2">
      <c r="A71" s="35" t="s">
        <v>86</v>
      </c>
      <c r="B71" s="80"/>
      <c r="C71" s="80"/>
      <c r="D71" s="80"/>
      <c r="E71" s="78"/>
      <c r="F71" s="32"/>
    </row>
    <row r="72" spans="1:6" ht="22.5" hidden="1" customHeight="1" outlineLevel="2" x14ac:dyDescent="0.25">
      <c r="A72" s="33" t="s">
        <v>87</v>
      </c>
      <c r="B72" s="79">
        <v>1000</v>
      </c>
      <c r="C72" s="79" t="s">
        <v>15</v>
      </c>
      <c r="D72" s="83"/>
      <c r="E72" s="90">
        <f>B72*D72</f>
        <v>0</v>
      </c>
      <c r="F72" s="99" t="s">
        <v>88</v>
      </c>
    </row>
    <row r="73" spans="1:6" ht="29.25" hidden="1" customHeight="1" outlineLevel="2" x14ac:dyDescent="0.2">
      <c r="A73" s="35" t="s">
        <v>89</v>
      </c>
      <c r="B73" s="80"/>
      <c r="C73" s="80"/>
      <c r="D73" s="80"/>
      <c r="E73" s="78"/>
      <c r="F73" s="77"/>
    </row>
    <row r="74" spans="1:6" ht="22.5" hidden="1" customHeight="1" outlineLevel="2" x14ac:dyDescent="0.25">
      <c r="A74" s="33" t="s">
        <v>90</v>
      </c>
      <c r="B74" s="79">
        <v>1000</v>
      </c>
      <c r="C74" s="79" t="s">
        <v>15</v>
      </c>
      <c r="D74" s="83"/>
      <c r="E74" s="90">
        <f>B74*D74</f>
        <v>0</v>
      </c>
      <c r="F74" s="77"/>
    </row>
    <row r="75" spans="1:6" ht="26.25" hidden="1" customHeight="1" outlineLevel="2" x14ac:dyDescent="0.2">
      <c r="A75" s="35" t="s">
        <v>91</v>
      </c>
      <c r="B75" s="80"/>
      <c r="C75" s="80"/>
      <c r="D75" s="80"/>
      <c r="E75" s="78"/>
      <c r="F75" s="78"/>
    </row>
    <row r="76" spans="1:6" ht="22.5" hidden="1" customHeight="1" outlineLevel="2" x14ac:dyDescent="0.25">
      <c r="A76" s="33" t="s">
        <v>92</v>
      </c>
      <c r="B76" s="79">
        <v>1300</v>
      </c>
      <c r="C76" s="79" t="s">
        <v>15</v>
      </c>
      <c r="D76" s="83"/>
      <c r="E76" s="90">
        <f>B76*D76</f>
        <v>0</v>
      </c>
      <c r="F76" s="32"/>
    </row>
    <row r="77" spans="1:6" ht="15.75" hidden="1" customHeight="1" outlineLevel="2" x14ac:dyDescent="0.2">
      <c r="A77" s="35" t="s">
        <v>93</v>
      </c>
      <c r="B77" s="80"/>
      <c r="C77" s="80"/>
      <c r="D77" s="80"/>
      <c r="E77" s="78"/>
      <c r="F77" s="25"/>
    </row>
    <row r="78" spans="1:6" ht="11.25" customHeight="1" x14ac:dyDescent="0.2">
      <c r="A78" s="84" t="s">
        <v>12</v>
      </c>
      <c r="B78" s="85"/>
      <c r="C78" s="85"/>
      <c r="D78" s="85"/>
      <c r="E78" s="85"/>
      <c r="F78" s="17"/>
    </row>
    <row r="79" spans="1:6" ht="22.5" customHeight="1" x14ac:dyDescent="0.2">
      <c r="A79" s="86" t="s">
        <v>94</v>
      </c>
      <c r="B79" s="87"/>
      <c r="C79" s="87"/>
      <c r="D79" s="88"/>
      <c r="E79" s="31"/>
      <c r="F79" s="27">
        <f>SUM(E80:E95)</f>
        <v>0</v>
      </c>
    </row>
    <row r="80" spans="1:6" ht="22.5" customHeight="1" outlineLevel="1" x14ac:dyDescent="0.25">
      <c r="A80" s="19" t="s">
        <v>95</v>
      </c>
      <c r="B80" s="79">
        <v>16</v>
      </c>
      <c r="C80" s="79" t="s">
        <v>59</v>
      </c>
      <c r="D80" s="83"/>
      <c r="E80" s="81">
        <f>B80*D80</f>
        <v>0</v>
      </c>
      <c r="F80" s="32"/>
    </row>
    <row r="81" spans="1:6" ht="25.5" customHeight="1" outlineLevel="1" x14ac:dyDescent="0.2">
      <c r="A81" s="71" t="s">
        <v>96</v>
      </c>
      <c r="B81" s="80"/>
      <c r="C81" s="80"/>
      <c r="D81" s="80"/>
      <c r="E81" s="82"/>
      <c r="F81" s="32"/>
    </row>
    <row r="82" spans="1:6" ht="22.5" customHeight="1" outlineLevel="2" x14ac:dyDescent="0.25">
      <c r="A82" s="19" t="s">
        <v>97</v>
      </c>
      <c r="B82" s="79">
        <v>20</v>
      </c>
      <c r="C82" s="100" t="s">
        <v>59</v>
      </c>
      <c r="D82" s="83"/>
      <c r="E82" s="81">
        <f>B82*D82</f>
        <v>0</v>
      </c>
      <c r="F82" s="91" t="s">
        <v>98</v>
      </c>
    </row>
    <row r="83" spans="1:6" ht="27" customHeight="1" outlineLevel="2" x14ac:dyDescent="0.2">
      <c r="A83" s="71" t="s">
        <v>99</v>
      </c>
      <c r="B83" s="80"/>
      <c r="C83" s="80"/>
      <c r="D83" s="80"/>
      <c r="E83" s="82"/>
      <c r="F83" s="78"/>
    </row>
    <row r="84" spans="1:6" ht="22.5" customHeight="1" outlineLevel="1" x14ac:dyDescent="0.25">
      <c r="A84" s="19" t="s">
        <v>100</v>
      </c>
      <c r="B84" s="79">
        <v>14</v>
      </c>
      <c r="C84" s="79" t="s">
        <v>59</v>
      </c>
      <c r="D84" s="83">
        <f>D80</f>
        <v>0</v>
      </c>
      <c r="E84" s="81">
        <f>B84*D84</f>
        <v>0</v>
      </c>
      <c r="F84" s="32"/>
    </row>
    <row r="85" spans="1:6" ht="27" customHeight="1" outlineLevel="1" x14ac:dyDescent="0.2">
      <c r="A85" s="71" t="s">
        <v>831</v>
      </c>
      <c r="B85" s="80"/>
      <c r="C85" s="80"/>
      <c r="D85" s="80"/>
      <c r="E85" s="82"/>
      <c r="F85" s="32"/>
    </row>
    <row r="86" spans="1:6" ht="22.5" customHeight="1" outlineLevel="2" x14ac:dyDescent="0.25">
      <c r="A86" s="19" t="s">
        <v>102</v>
      </c>
      <c r="B86" s="79">
        <v>16</v>
      </c>
      <c r="C86" s="79" t="s">
        <v>59</v>
      </c>
      <c r="D86" s="83">
        <f>D82</f>
        <v>0</v>
      </c>
      <c r="E86" s="81">
        <f>B86*D86</f>
        <v>0</v>
      </c>
      <c r="F86" s="91" t="s">
        <v>98</v>
      </c>
    </row>
    <row r="87" spans="1:6" ht="24" customHeight="1" outlineLevel="2" x14ac:dyDescent="0.2">
      <c r="A87" s="23" t="s">
        <v>103</v>
      </c>
      <c r="B87" s="80"/>
      <c r="C87" s="80"/>
      <c r="D87" s="80"/>
      <c r="E87" s="82"/>
      <c r="F87" s="78"/>
    </row>
    <row r="88" spans="1:6" ht="22.5" customHeight="1" outlineLevel="2" x14ac:dyDescent="0.25">
      <c r="A88" s="19" t="s">
        <v>104</v>
      </c>
      <c r="B88" s="79">
        <v>10</v>
      </c>
      <c r="C88" s="79" t="s">
        <v>59</v>
      </c>
      <c r="D88" s="83"/>
      <c r="E88" s="81">
        <f>B88*D88</f>
        <v>0</v>
      </c>
      <c r="F88" s="91" t="s">
        <v>105</v>
      </c>
    </row>
    <row r="89" spans="1:6" ht="15.75" customHeight="1" outlineLevel="2" x14ac:dyDescent="0.2">
      <c r="A89" s="23" t="s">
        <v>106</v>
      </c>
      <c r="B89" s="80"/>
      <c r="C89" s="80"/>
      <c r="D89" s="80"/>
      <c r="E89" s="82"/>
      <c r="F89" s="77"/>
    </row>
    <row r="90" spans="1:6" ht="22.5" customHeight="1" outlineLevel="2" x14ac:dyDescent="0.25">
      <c r="A90" s="19" t="s">
        <v>107</v>
      </c>
      <c r="B90" s="79">
        <v>7</v>
      </c>
      <c r="C90" s="79" t="s">
        <v>59</v>
      </c>
      <c r="D90" s="83"/>
      <c r="E90" s="81">
        <f>B90*D90</f>
        <v>0</v>
      </c>
      <c r="F90" s="77"/>
    </row>
    <row r="91" spans="1:6" ht="15.75" customHeight="1" outlineLevel="2" x14ac:dyDescent="0.2">
      <c r="A91" s="23" t="s">
        <v>108</v>
      </c>
      <c r="B91" s="80"/>
      <c r="C91" s="80"/>
      <c r="D91" s="80"/>
      <c r="E91" s="82"/>
      <c r="F91" s="78"/>
    </row>
    <row r="92" spans="1:6" ht="22.5" customHeight="1" outlineLevel="1" x14ac:dyDescent="0.25">
      <c r="A92" s="19" t="s">
        <v>109</v>
      </c>
      <c r="B92" s="79">
        <v>5</v>
      </c>
      <c r="C92" s="79" t="s">
        <v>59</v>
      </c>
      <c r="D92" s="83"/>
      <c r="E92" s="81">
        <f>B92*D92</f>
        <v>0</v>
      </c>
      <c r="F92" s="32"/>
    </row>
    <row r="93" spans="1:6" ht="25.5" customHeight="1" outlineLevel="1" x14ac:dyDescent="0.2">
      <c r="A93" s="23" t="s">
        <v>110</v>
      </c>
      <c r="B93" s="80"/>
      <c r="C93" s="80"/>
      <c r="D93" s="80"/>
      <c r="E93" s="82"/>
      <c r="F93" s="32"/>
    </row>
    <row r="94" spans="1:6" ht="22.5" customHeight="1" outlineLevel="2" x14ac:dyDescent="0.25">
      <c r="A94" s="19" t="s">
        <v>111</v>
      </c>
      <c r="B94" s="79">
        <v>38</v>
      </c>
      <c r="C94" s="79" t="s">
        <v>59</v>
      </c>
      <c r="D94" s="83"/>
      <c r="E94" s="81">
        <f>B94*D94</f>
        <v>0</v>
      </c>
      <c r="F94" s="91" t="s">
        <v>112</v>
      </c>
    </row>
    <row r="95" spans="1:6" ht="15.75" customHeight="1" outlineLevel="2" x14ac:dyDescent="0.2">
      <c r="A95" s="23" t="s">
        <v>113</v>
      </c>
      <c r="B95" s="80"/>
      <c r="C95" s="80"/>
      <c r="D95" s="80"/>
      <c r="E95" s="82"/>
      <c r="F95" s="78"/>
    </row>
    <row r="96" spans="1:6" ht="11.25" customHeight="1" x14ac:dyDescent="0.2">
      <c r="A96" s="84" t="s">
        <v>12</v>
      </c>
      <c r="B96" s="85"/>
      <c r="C96" s="85"/>
      <c r="D96" s="85"/>
      <c r="E96" s="85"/>
      <c r="F96" s="17"/>
    </row>
    <row r="97" spans="1:6" ht="25.5" customHeight="1" x14ac:dyDescent="0.2">
      <c r="A97" s="86" t="s">
        <v>114</v>
      </c>
      <c r="B97" s="87"/>
      <c r="C97" s="87"/>
      <c r="D97" s="88"/>
      <c r="E97" s="31"/>
      <c r="F97" s="27">
        <f>SUM(E98:E123)</f>
        <v>0</v>
      </c>
    </row>
    <row r="98" spans="1:6" ht="22.5" customHeight="1" outlineLevel="1" x14ac:dyDescent="0.25">
      <c r="A98" s="33" t="s">
        <v>115</v>
      </c>
      <c r="B98" s="79">
        <v>3500</v>
      </c>
      <c r="C98" s="79" t="s">
        <v>15</v>
      </c>
      <c r="D98" s="83"/>
      <c r="E98" s="81">
        <f>B98*D98</f>
        <v>0</v>
      </c>
      <c r="F98" s="32"/>
    </row>
    <row r="99" spans="1:6" ht="26.25" customHeight="1" outlineLevel="1" x14ac:dyDescent="0.2">
      <c r="A99" s="35" t="s">
        <v>116</v>
      </c>
      <c r="B99" s="80"/>
      <c r="C99" s="80"/>
      <c r="D99" s="80"/>
      <c r="E99" s="82"/>
      <c r="F99" s="32"/>
    </row>
    <row r="100" spans="1:6" ht="22.5" customHeight="1" outlineLevel="1" x14ac:dyDescent="0.25">
      <c r="A100" s="33" t="s">
        <v>117</v>
      </c>
      <c r="B100" s="79">
        <v>1000</v>
      </c>
      <c r="C100" s="79" t="s">
        <v>15</v>
      </c>
      <c r="D100" s="83"/>
      <c r="E100" s="81">
        <f>B100*D100</f>
        <v>0</v>
      </c>
      <c r="F100" s="32"/>
    </row>
    <row r="101" spans="1:6" ht="39.75" customHeight="1" outlineLevel="1" x14ac:dyDescent="0.2">
      <c r="A101" s="35" t="s">
        <v>118</v>
      </c>
      <c r="B101" s="80"/>
      <c r="C101" s="80"/>
      <c r="D101" s="80"/>
      <c r="E101" s="82"/>
      <c r="F101" s="32"/>
    </row>
    <row r="102" spans="1:6" ht="22.5" customHeight="1" outlineLevel="1" x14ac:dyDescent="0.25">
      <c r="A102" s="33" t="s">
        <v>119</v>
      </c>
      <c r="B102" s="79">
        <v>1500</v>
      </c>
      <c r="C102" s="79" t="s">
        <v>15</v>
      </c>
      <c r="D102" s="83"/>
      <c r="E102" s="81">
        <f>B102*D102</f>
        <v>0</v>
      </c>
      <c r="F102" s="32"/>
    </row>
    <row r="103" spans="1:6" ht="15.75" customHeight="1" outlineLevel="1" x14ac:dyDescent="0.2">
      <c r="A103" s="35" t="s">
        <v>120</v>
      </c>
      <c r="B103" s="80"/>
      <c r="C103" s="80"/>
      <c r="D103" s="80"/>
      <c r="E103" s="82"/>
      <c r="F103" s="32"/>
    </row>
    <row r="104" spans="1:6" ht="22.5" customHeight="1" outlineLevel="1" x14ac:dyDescent="0.25">
      <c r="A104" s="33" t="s">
        <v>121</v>
      </c>
      <c r="B104" s="79">
        <v>1700</v>
      </c>
      <c r="C104" s="79" t="s">
        <v>15</v>
      </c>
      <c r="D104" s="83"/>
      <c r="E104" s="81">
        <f>B104*D104</f>
        <v>0</v>
      </c>
      <c r="F104" s="32"/>
    </row>
    <row r="105" spans="1:6" ht="15.75" customHeight="1" outlineLevel="1" x14ac:dyDescent="0.2">
      <c r="A105" s="35" t="s">
        <v>122</v>
      </c>
      <c r="B105" s="80"/>
      <c r="C105" s="80"/>
      <c r="D105" s="80"/>
      <c r="E105" s="82"/>
      <c r="F105" s="32"/>
    </row>
    <row r="106" spans="1:6" ht="22.5" customHeight="1" outlineLevel="1" x14ac:dyDescent="0.25">
      <c r="A106" s="33" t="s">
        <v>123</v>
      </c>
      <c r="B106" s="79">
        <v>100</v>
      </c>
      <c r="C106" s="79" t="s">
        <v>36</v>
      </c>
      <c r="D106" s="83"/>
      <c r="E106" s="81">
        <f>B106*D106</f>
        <v>0</v>
      </c>
      <c r="F106" s="76" t="s">
        <v>124</v>
      </c>
    </row>
    <row r="107" spans="1:6" ht="15.75" customHeight="1" outlineLevel="1" x14ac:dyDescent="0.2">
      <c r="A107" s="35" t="s">
        <v>125</v>
      </c>
      <c r="B107" s="80"/>
      <c r="C107" s="80"/>
      <c r="D107" s="80"/>
      <c r="E107" s="82"/>
      <c r="F107" s="78"/>
    </row>
    <row r="108" spans="1:6" ht="22.5" customHeight="1" outlineLevel="1" x14ac:dyDescent="0.25">
      <c r="A108" s="33" t="s">
        <v>126</v>
      </c>
      <c r="B108" s="79">
        <v>110</v>
      </c>
      <c r="C108" s="79" t="s">
        <v>36</v>
      </c>
      <c r="D108" s="83"/>
      <c r="E108" s="81">
        <f>B108*D108</f>
        <v>0</v>
      </c>
      <c r="F108" s="76" t="s">
        <v>127</v>
      </c>
    </row>
    <row r="109" spans="1:6" ht="15.75" customHeight="1" outlineLevel="1" x14ac:dyDescent="0.2">
      <c r="A109" s="35" t="s">
        <v>128</v>
      </c>
      <c r="B109" s="80"/>
      <c r="C109" s="80"/>
      <c r="D109" s="80"/>
      <c r="E109" s="82"/>
      <c r="F109" s="78"/>
    </row>
    <row r="110" spans="1:6" ht="22.5" customHeight="1" outlineLevel="1" x14ac:dyDescent="0.25">
      <c r="A110" s="33" t="s">
        <v>129</v>
      </c>
      <c r="B110" s="79">
        <v>300</v>
      </c>
      <c r="C110" s="79" t="s">
        <v>15</v>
      </c>
      <c r="D110" s="83"/>
      <c r="E110" s="81">
        <f>B110*D110</f>
        <v>0</v>
      </c>
      <c r="F110" s="32"/>
    </row>
    <row r="111" spans="1:6" ht="15.75" customHeight="1" outlineLevel="1" x14ac:dyDescent="0.2">
      <c r="A111" s="35" t="s">
        <v>130</v>
      </c>
      <c r="B111" s="80"/>
      <c r="C111" s="80"/>
      <c r="D111" s="80"/>
      <c r="E111" s="82"/>
      <c r="F111" s="32"/>
    </row>
    <row r="112" spans="1:6" ht="22.5" customHeight="1" outlineLevel="1" x14ac:dyDescent="0.25">
      <c r="A112" s="33" t="s">
        <v>131</v>
      </c>
      <c r="B112" s="79">
        <v>100</v>
      </c>
      <c r="C112" s="79" t="s">
        <v>36</v>
      </c>
      <c r="D112" s="83"/>
      <c r="E112" s="81">
        <f>B112*D112</f>
        <v>0</v>
      </c>
      <c r="F112" s="76" t="s">
        <v>132</v>
      </c>
    </row>
    <row r="113" spans="1:6" ht="15.75" customHeight="1" outlineLevel="1" x14ac:dyDescent="0.2">
      <c r="A113" s="35" t="s">
        <v>133</v>
      </c>
      <c r="B113" s="80"/>
      <c r="C113" s="80"/>
      <c r="D113" s="80"/>
      <c r="E113" s="82"/>
      <c r="F113" s="78"/>
    </row>
    <row r="114" spans="1:6" ht="22.5" customHeight="1" outlineLevel="1" x14ac:dyDescent="0.25">
      <c r="A114" s="33" t="s">
        <v>134</v>
      </c>
      <c r="B114" s="79">
        <v>600</v>
      </c>
      <c r="C114" s="79" t="s">
        <v>15</v>
      </c>
      <c r="D114" s="83"/>
      <c r="E114" s="81">
        <f>B114*D114</f>
        <v>0</v>
      </c>
      <c r="F114" s="91" t="s">
        <v>135</v>
      </c>
    </row>
    <row r="115" spans="1:6" ht="15.75" customHeight="1" outlineLevel="1" x14ac:dyDescent="0.2">
      <c r="A115" s="35" t="s">
        <v>136</v>
      </c>
      <c r="B115" s="80"/>
      <c r="C115" s="80"/>
      <c r="D115" s="80"/>
      <c r="E115" s="82"/>
      <c r="F115" s="78"/>
    </row>
    <row r="116" spans="1:6" ht="22.5" customHeight="1" outlineLevel="1" x14ac:dyDescent="0.25">
      <c r="A116" s="33" t="s">
        <v>137</v>
      </c>
      <c r="B116" s="79">
        <v>1500</v>
      </c>
      <c r="C116" s="79" t="s">
        <v>15</v>
      </c>
      <c r="D116" s="83"/>
      <c r="E116" s="81">
        <f>B116*D116</f>
        <v>0</v>
      </c>
      <c r="F116" s="91" t="s">
        <v>138</v>
      </c>
    </row>
    <row r="117" spans="1:6" ht="15.75" customHeight="1" outlineLevel="1" x14ac:dyDescent="0.2">
      <c r="A117" s="35" t="s">
        <v>139</v>
      </c>
      <c r="B117" s="80"/>
      <c r="C117" s="80"/>
      <c r="D117" s="80"/>
      <c r="E117" s="82"/>
      <c r="F117" s="78"/>
    </row>
    <row r="118" spans="1:6" ht="22.5" customHeight="1" outlineLevel="1" x14ac:dyDescent="0.25">
      <c r="A118" s="33" t="s">
        <v>140</v>
      </c>
      <c r="B118" s="79">
        <v>600</v>
      </c>
      <c r="C118" s="79" t="s">
        <v>15</v>
      </c>
      <c r="D118" s="83"/>
      <c r="E118" s="81">
        <f>B118*D118</f>
        <v>0</v>
      </c>
      <c r="F118" s="32"/>
    </row>
    <row r="119" spans="1:6" ht="15.75" customHeight="1" outlineLevel="1" x14ac:dyDescent="0.2">
      <c r="A119" s="35" t="s">
        <v>141</v>
      </c>
      <c r="B119" s="80"/>
      <c r="C119" s="80"/>
      <c r="D119" s="80"/>
      <c r="E119" s="82"/>
      <c r="F119" s="32"/>
    </row>
    <row r="120" spans="1:6" ht="22.5" customHeight="1" outlineLevel="1" x14ac:dyDescent="0.25">
      <c r="A120" s="33" t="s">
        <v>142</v>
      </c>
      <c r="B120" s="79">
        <v>300</v>
      </c>
      <c r="C120" s="79" t="s">
        <v>15</v>
      </c>
      <c r="D120" s="83"/>
      <c r="E120" s="81">
        <f>B120*D120</f>
        <v>0</v>
      </c>
      <c r="F120" s="91" t="s">
        <v>143</v>
      </c>
    </row>
    <row r="121" spans="1:6" ht="15.75" customHeight="1" outlineLevel="1" x14ac:dyDescent="0.2">
      <c r="A121" s="35" t="s">
        <v>144</v>
      </c>
      <c r="B121" s="80"/>
      <c r="C121" s="80"/>
      <c r="D121" s="80"/>
      <c r="E121" s="82"/>
      <c r="F121" s="78"/>
    </row>
    <row r="122" spans="1:6" ht="22.5" customHeight="1" outlineLevel="1" x14ac:dyDescent="0.25">
      <c r="A122" s="33" t="s">
        <v>145</v>
      </c>
      <c r="B122" s="79">
        <v>250</v>
      </c>
      <c r="C122" s="79" t="s">
        <v>15</v>
      </c>
      <c r="D122" s="83"/>
      <c r="E122" s="81">
        <f>B122*D122</f>
        <v>0</v>
      </c>
      <c r="F122" s="24"/>
    </row>
    <row r="123" spans="1:6" ht="15.75" customHeight="1" outlineLevel="1" x14ac:dyDescent="0.2">
      <c r="A123" s="35" t="s">
        <v>146</v>
      </c>
      <c r="B123" s="80"/>
      <c r="C123" s="80"/>
      <c r="D123" s="80"/>
      <c r="E123" s="82"/>
      <c r="F123" s="34"/>
    </row>
    <row r="124" spans="1:6" ht="11.25" customHeight="1" x14ac:dyDescent="0.2">
      <c r="A124" s="84" t="s">
        <v>12</v>
      </c>
      <c r="B124" s="85"/>
      <c r="C124" s="85"/>
      <c r="D124" s="85"/>
      <c r="E124" s="85"/>
      <c r="F124" s="17"/>
    </row>
    <row r="125" spans="1:6" ht="22.5" customHeight="1" x14ac:dyDescent="0.2">
      <c r="A125" s="86" t="s">
        <v>147</v>
      </c>
      <c r="B125" s="87"/>
      <c r="C125" s="87"/>
      <c r="D125" s="88"/>
      <c r="E125" s="31"/>
      <c r="F125" s="27">
        <f>SUM(E126:E129)</f>
        <v>0</v>
      </c>
    </row>
    <row r="126" spans="1:6" ht="22.5" customHeight="1" outlineLevel="1" x14ac:dyDescent="0.25">
      <c r="A126" s="33" t="s">
        <v>148</v>
      </c>
      <c r="B126" s="79">
        <v>60</v>
      </c>
      <c r="C126" s="79" t="s">
        <v>36</v>
      </c>
      <c r="D126" s="83"/>
      <c r="E126" s="81">
        <f>B126*D126</f>
        <v>0</v>
      </c>
      <c r="F126" s="91" t="s">
        <v>149</v>
      </c>
    </row>
    <row r="127" spans="1:6" ht="15.75" customHeight="1" outlineLevel="1" x14ac:dyDescent="0.2">
      <c r="A127" s="35" t="s">
        <v>150</v>
      </c>
      <c r="B127" s="80"/>
      <c r="C127" s="80"/>
      <c r="D127" s="80"/>
      <c r="E127" s="82"/>
      <c r="F127" s="78"/>
    </row>
    <row r="128" spans="1:6" ht="22.5" customHeight="1" outlineLevel="1" x14ac:dyDescent="0.25">
      <c r="A128" s="33" t="s">
        <v>151</v>
      </c>
      <c r="B128" s="79">
        <v>60</v>
      </c>
      <c r="C128" s="79" t="s">
        <v>36</v>
      </c>
      <c r="D128" s="83"/>
      <c r="E128" s="81">
        <f>B128*D128</f>
        <v>0</v>
      </c>
      <c r="F128" s="91" t="s">
        <v>149</v>
      </c>
    </row>
    <row r="129" spans="1:6" ht="15.75" customHeight="1" outlineLevel="1" x14ac:dyDescent="0.2">
      <c r="A129" s="35" t="s">
        <v>152</v>
      </c>
      <c r="B129" s="80"/>
      <c r="C129" s="80"/>
      <c r="D129" s="80"/>
      <c r="E129" s="82"/>
      <c r="F129" s="78"/>
    </row>
    <row r="130" spans="1:6" ht="11.25" customHeight="1" x14ac:dyDescent="0.2">
      <c r="A130" s="84" t="s">
        <v>12</v>
      </c>
      <c r="B130" s="85"/>
      <c r="C130" s="85"/>
      <c r="D130" s="85"/>
      <c r="E130" s="85"/>
      <c r="F130" s="17"/>
    </row>
    <row r="131" spans="1:6" ht="22.5" customHeight="1" collapsed="1" x14ac:dyDescent="0.2">
      <c r="A131" s="86" t="s">
        <v>153</v>
      </c>
      <c r="B131" s="87"/>
      <c r="C131" s="87"/>
      <c r="D131" s="88"/>
      <c r="E131" s="31"/>
      <c r="F131" s="27">
        <f>SUM(E132:E143)</f>
        <v>0</v>
      </c>
    </row>
    <row r="132" spans="1:6" ht="22.5" hidden="1" customHeight="1" outlineLevel="1" x14ac:dyDescent="0.25">
      <c r="A132" s="19" t="s">
        <v>154</v>
      </c>
      <c r="B132" s="79">
        <v>5</v>
      </c>
      <c r="C132" s="79" t="s">
        <v>155</v>
      </c>
      <c r="D132" s="83"/>
      <c r="E132" s="103">
        <f>B132*D132</f>
        <v>0</v>
      </c>
      <c r="F132" s="96" t="s">
        <v>156</v>
      </c>
    </row>
    <row r="133" spans="1:6" ht="15.75" hidden="1" customHeight="1" outlineLevel="1" x14ac:dyDescent="0.2">
      <c r="A133" s="23" t="s">
        <v>157</v>
      </c>
      <c r="B133" s="80"/>
      <c r="C133" s="80"/>
      <c r="D133" s="80"/>
      <c r="E133" s="82"/>
      <c r="F133" s="78"/>
    </row>
    <row r="134" spans="1:6" ht="22.5" hidden="1" customHeight="1" outlineLevel="2" x14ac:dyDescent="0.25">
      <c r="A134" s="33" t="s">
        <v>158</v>
      </c>
      <c r="B134" s="79">
        <v>12</v>
      </c>
      <c r="C134" s="79" t="s">
        <v>155</v>
      </c>
      <c r="D134" s="83"/>
      <c r="E134" s="90">
        <f>B134*D134</f>
        <v>0</v>
      </c>
      <c r="F134" s="32"/>
    </row>
    <row r="135" spans="1:6" ht="15.75" hidden="1" customHeight="1" outlineLevel="2" x14ac:dyDescent="0.2">
      <c r="A135" s="35" t="s">
        <v>159</v>
      </c>
      <c r="B135" s="80"/>
      <c r="C135" s="80"/>
      <c r="D135" s="80"/>
      <c r="E135" s="78"/>
      <c r="F135" s="32"/>
    </row>
    <row r="136" spans="1:6" ht="22.5" hidden="1" customHeight="1" outlineLevel="2" x14ac:dyDescent="0.25">
      <c r="A136" s="33" t="s">
        <v>160</v>
      </c>
      <c r="B136" s="98"/>
      <c r="C136" s="79" t="s">
        <v>155</v>
      </c>
      <c r="D136" s="83"/>
      <c r="E136" s="90">
        <f>B136*D136</f>
        <v>0</v>
      </c>
      <c r="F136" s="97" t="s">
        <v>161</v>
      </c>
    </row>
    <row r="137" spans="1:6" ht="15.75" hidden="1" customHeight="1" outlineLevel="2" x14ac:dyDescent="0.2">
      <c r="A137" s="35" t="s">
        <v>162</v>
      </c>
      <c r="B137" s="80"/>
      <c r="C137" s="80"/>
      <c r="D137" s="80"/>
      <c r="E137" s="78"/>
      <c r="F137" s="78"/>
    </row>
    <row r="138" spans="1:6" ht="22.5" hidden="1" customHeight="1" outlineLevel="1" x14ac:dyDescent="0.25">
      <c r="A138" s="19" t="s">
        <v>163</v>
      </c>
      <c r="B138" s="79">
        <v>12</v>
      </c>
      <c r="C138" s="79" t="s">
        <v>36</v>
      </c>
      <c r="D138" s="83"/>
      <c r="E138" s="81">
        <f>B138*D138</f>
        <v>0</v>
      </c>
      <c r="F138" s="32"/>
    </row>
    <row r="139" spans="1:6" ht="15.75" hidden="1" customHeight="1" outlineLevel="1" x14ac:dyDescent="0.2">
      <c r="A139" s="23" t="s">
        <v>164</v>
      </c>
      <c r="B139" s="80"/>
      <c r="C139" s="80"/>
      <c r="D139" s="80"/>
      <c r="E139" s="82"/>
      <c r="F139" s="32"/>
    </row>
    <row r="140" spans="1:6" ht="22.5" hidden="1" customHeight="1" outlineLevel="1" x14ac:dyDescent="0.25">
      <c r="A140" s="19" t="s">
        <v>165</v>
      </c>
      <c r="B140" s="79">
        <v>50</v>
      </c>
      <c r="C140" s="79" t="s">
        <v>15</v>
      </c>
      <c r="D140" s="83"/>
      <c r="E140" s="81">
        <f>B140*D140</f>
        <v>0</v>
      </c>
      <c r="F140" s="76" t="s">
        <v>166</v>
      </c>
    </row>
    <row r="141" spans="1:6" ht="15.75" hidden="1" customHeight="1" outlineLevel="1" x14ac:dyDescent="0.2">
      <c r="A141" s="23" t="s">
        <v>167</v>
      </c>
      <c r="B141" s="80"/>
      <c r="C141" s="80"/>
      <c r="D141" s="80"/>
      <c r="E141" s="82"/>
      <c r="F141" s="78"/>
    </row>
    <row r="142" spans="1:6" ht="22.5" hidden="1" customHeight="1" outlineLevel="1" x14ac:dyDescent="0.25">
      <c r="A142" s="19" t="s">
        <v>168</v>
      </c>
      <c r="B142" s="79">
        <v>400</v>
      </c>
      <c r="C142" s="79" t="s">
        <v>15</v>
      </c>
      <c r="D142" s="83"/>
      <c r="E142" s="81">
        <f>B142*D142</f>
        <v>0</v>
      </c>
      <c r="F142" s="32"/>
    </row>
    <row r="143" spans="1:6" ht="15.75" hidden="1" customHeight="1" outlineLevel="1" x14ac:dyDescent="0.2">
      <c r="A143" s="23" t="s">
        <v>169</v>
      </c>
      <c r="B143" s="80"/>
      <c r="C143" s="80"/>
      <c r="D143" s="80"/>
      <c r="E143" s="82"/>
      <c r="F143" s="32"/>
    </row>
    <row r="144" spans="1:6" ht="11.25" customHeight="1" x14ac:dyDescent="0.2">
      <c r="A144" s="84" t="s">
        <v>12</v>
      </c>
      <c r="B144" s="85"/>
      <c r="C144" s="85"/>
      <c r="D144" s="85"/>
      <c r="E144" s="85"/>
      <c r="F144" s="17"/>
    </row>
    <row r="145" spans="1:6" ht="22.5" customHeight="1" collapsed="1" x14ac:dyDescent="0.2">
      <c r="A145" s="86" t="s">
        <v>170</v>
      </c>
      <c r="B145" s="87"/>
      <c r="C145" s="87"/>
      <c r="D145" s="88"/>
      <c r="E145" s="36"/>
      <c r="F145" s="37">
        <f>SUM(E146:E171)</f>
        <v>0</v>
      </c>
    </row>
    <row r="146" spans="1:6" ht="22.5" hidden="1" customHeight="1" outlineLevel="1" x14ac:dyDescent="0.25">
      <c r="A146" s="33" t="s">
        <v>171</v>
      </c>
      <c r="B146" s="79"/>
      <c r="C146" s="79" t="s">
        <v>15</v>
      </c>
      <c r="D146" s="83"/>
      <c r="E146" s="81">
        <f>B146*D146</f>
        <v>0</v>
      </c>
      <c r="F146" s="76" t="s">
        <v>172</v>
      </c>
    </row>
    <row r="147" spans="1:6" ht="15.75" hidden="1" customHeight="1" outlineLevel="1" x14ac:dyDescent="0.2">
      <c r="A147" s="35" t="s">
        <v>173</v>
      </c>
      <c r="B147" s="80"/>
      <c r="C147" s="80"/>
      <c r="D147" s="80"/>
      <c r="E147" s="82"/>
      <c r="F147" s="78"/>
    </row>
    <row r="148" spans="1:6" ht="22.5" hidden="1" customHeight="1" outlineLevel="2" x14ac:dyDescent="0.25">
      <c r="A148" s="33" t="s">
        <v>174</v>
      </c>
      <c r="B148" s="79">
        <v>1600</v>
      </c>
      <c r="C148" s="79" t="s">
        <v>15</v>
      </c>
      <c r="D148" s="83"/>
      <c r="E148" s="90">
        <f>B148*D148</f>
        <v>0</v>
      </c>
      <c r="F148" s="32"/>
    </row>
    <row r="149" spans="1:6" ht="15.75" hidden="1" customHeight="1" outlineLevel="2" x14ac:dyDescent="0.2">
      <c r="A149" s="35" t="s">
        <v>175</v>
      </c>
      <c r="B149" s="80"/>
      <c r="C149" s="80"/>
      <c r="D149" s="80"/>
      <c r="E149" s="78"/>
      <c r="F149" s="32"/>
    </row>
    <row r="150" spans="1:6" ht="22.5" hidden="1" customHeight="1" outlineLevel="1" x14ac:dyDescent="0.25">
      <c r="A150" s="33" t="s">
        <v>176</v>
      </c>
      <c r="B150" s="79">
        <v>2200</v>
      </c>
      <c r="C150" s="79" t="s">
        <v>15</v>
      </c>
      <c r="D150" s="83"/>
      <c r="E150" s="90">
        <f>B150*D150</f>
        <v>0</v>
      </c>
      <c r="F150" s="32"/>
    </row>
    <row r="151" spans="1:6" ht="15.75" hidden="1" customHeight="1" outlineLevel="1" x14ac:dyDescent="0.2">
      <c r="A151" s="35" t="s">
        <v>177</v>
      </c>
      <c r="B151" s="80"/>
      <c r="C151" s="80"/>
      <c r="D151" s="80"/>
      <c r="E151" s="78"/>
      <c r="F151" s="32"/>
    </row>
    <row r="152" spans="1:6" ht="22.5" hidden="1" customHeight="1" outlineLevel="1" x14ac:dyDescent="0.25">
      <c r="A152" s="33" t="s">
        <v>178</v>
      </c>
      <c r="B152" s="79">
        <v>1500</v>
      </c>
      <c r="C152" s="79" t="s">
        <v>15</v>
      </c>
      <c r="D152" s="83"/>
      <c r="E152" s="90">
        <f>B152*D152</f>
        <v>0</v>
      </c>
      <c r="F152" s="91" t="s">
        <v>179</v>
      </c>
    </row>
    <row r="153" spans="1:6" ht="15.75" hidden="1" customHeight="1" outlineLevel="1" x14ac:dyDescent="0.2">
      <c r="A153" s="35" t="s">
        <v>180</v>
      </c>
      <c r="B153" s="80"/>
      <c r="C153" s="80"/>
      <c r="D153" s="80"/>
      <c r="E153" s="78"/>
      <c r="F153" s="78"/>
    </row>
    <row r="154" spans="1:6" ht="22.5" hidden="1" customHeight="1" outlineLevel="1" x14ac:dyDescent="0.25">
      <c r="A154" s="33" t="s">
        <v>181</v>
      </c>
      <c r="B154" s="79">
        <v>1500</v>
      </c>
      <c r="C154" s="79" t="s">
        <v>15</v>
      </c>
      <c r="D154" s="83"/>
      <c r="E154" s="90">
        <f>B154*D154</f>
        <v>0</v>
      </c>
      <c r="F154" s="32"/>
    </row>
    <row r="155" spans="1:6" ht="15.75" hidden="1" customHeight="1" outlineLevel="1" x14ac:dyDescent="0.2">
      <c r="A155" s="35" t="s">
        <v>182</v>
      </c>
      <c r="B155" s="80"/>
      <c r="C155" s="80"/>
      <c r="D155" s="80"/>
      <c r="E155" s="78"/>
      <c r="F155" s="32"/>
    </row>
    <row r="156" spans="1:6" ht="22.5" hidden="1" customHeight="1" outlineLevel="1" x14ac:dyDescent="0.25">
      <c r="A156" s="33" t="s">
        <v>183</v>
      </c>
      <c r="B156" s="79">
        <v>3000</v>
      </c>
      <c r="C156" s="79" t="s">
        <v>15</v>
      </c>
      <c r="D156" s="83"/>
      <c r="E156" s="90">
        <f>B156*D156</f>
        <v>0</v>
      </c>
      <c r="F156" s="91" t="s">
        <v>179</v>
      </c>
    </row>
    <row r="157" spans="1:6" ht="15.75" hidden="1" customHeight="1" outlineLevel="1" x14ac:dyDescent="0.2">
      <c r="A157" s="35" t="s">
        <v>184</v>
      </c>
      <c r="B157" s="80"/>
      <c r="C157" s="80"/>
      <c r="D157" s="80"/>
      <c r="E157" s="78"/>
      <c r="F157" s="78"/>
    </row>
    <row r="158" spans="1:6" ht="22.5" hidden="1" customHeight="1" outlineLevel="1" x14ac:dyDescent="0.25">
      <c r="A158" s="33" t="s">
        <v>185</v>
      </c>
      <c r="B158" s="79">
        <v>3500</v>
      </c>
      <c r="C158" s="79" t="s">
        <v>15</v>
      </c>
      <c r="D158" s="83"/>
      <c r="E158" s="90">
        <f>B158*D158</f>
        <v>0</v>
      </c>
      <c r="F158" s="32"/>
    </row>
    <row r="159" spans="1:6" ht="15.75" hidden="1" customHeight="1" outlineLevel="1" x14ac:dyDescent="0.2">
      <c r="A159" s="35" t="s">
        <v>186</v>
      </c>
      <c r="B159" s="80"/>
      <c r="C159" s="80"/>
      <c r="D159" s="80"/>
      <c r="E159" s="78"/>
      <c r="F159" s="32"/>
    </row>
    <row r="160" spans="1:6" ht="22.5" hidden="1" customHeight="1" outlineLevel="1" x14ac:dyDescent="0.25">
      <c r="A160" s="33" t="s">
        <v>187</v>
      </c>
      <c r="B160" s="79">
        <v>3000</v>
      </c>
      <c r="C160" s="79" t="s">
        <v>15</v>
      </c>
      <c r="D160" s="83"/>
      <c r="E160" s="90">
        <f>B160*D160</f>
        <v>0</v>
      </c>
      <c r="F160" s="91" t="s">
        <v>179</v>
      </c>
    </row>
    <row r="161" spans="1:6" ht="15.75" hidden="1" customHeight="1" outlineLevel="1" x14ac:dyDescent="0.2">
      <c r="A161" s="35" t="s">
        <v>188</v>
      </c>
      <c r="B161" s="80"/>
      <c r="C161" s="80"/>
      <c r="D161" s="80"/>
      <c r="E161" s="78"/>
      <c r="F161" s="78"/>
    </row>
    <row r="162" spans="1:6" ht="22.5" hidden="1" customHeight="1" outlineLevel="1" x14ac:dyDescent="0.25">
      <c r="A162" s="33" t="s">
        <v>189</v>
      </c>
      <c r="B162" s="79">
        <v>4500</v>
      </c>
      <c r="C162" s="79" t="s">
        <v>15</v>
      </c>
      <c r="D162" s="83"/>
      <c r="E162" s="90">
        <f>B162*D162</f>
        <v>0</v>
      </c>
      <c r="F162" s="32"/>
    </row>
    <row r="163" spans="1:6" ht="15.75" hidden="1" customHeight="1" outlineLevel="1" x14ac:dyDescent="0.2">
      <c r="A163" s="35" t="s">
        <v>190</v>
      </c>
      <c r="B163" s="80"/>
      <c r="C163" s="80"/>
      <c r="D163" s="80"/>
      <c r="E163" s="78"/>
      <c r="F163" s="32"/>
    </row>
    <row r="164" spans="1:6" ht="22.5" hidden="1" customHeight="1" outlineLevel="1" x14ac:dyDescent="0.25">
      <c r="A164" s="33" t="s">
        <v>191</v>
      </c>
      <c r="B164" s="79">
        <v>250</v>
      </c>
      <c r="C164" s="79" t="s">
        <v>15</v>
      </c>
      <c r="D164" s="83"/>
      <c r="E164" s="90">
        <f>B164*D164</f>
        <v>0</v>
      </c>
      <c r="F164" s="32"/>
    </row>
    <row r="165" spans="1:6" ht="15.75" hidden="1" customHeight="1" outlineLevel="1" x14ac:dyDescent="0.2">
      <c r="A165" s="35" t="s">
        <v>192</v>
      </c>
      <c r="B165" s="80"/>
      <c r="C165" s="80"/>
      <c r="D165" s="80"/>
      <c r="E165" s="78"/>
      <c r="F165" s="32"/>
    </row>
    <row r="166" spans="1:6" ht="22.5" hidden="1" customHeight="1" outlineLevel="1" x14ac:dyDescent="0.25">
      <c r="A166" s="33" t="s">
        <v>193</v>
      </c>
      <c r="B166" s="79">
        <v>250</v>
      </c>
      <c r="C166" s="79" t="s">
        <v>15</v>
      </c>
      <c r="D166" s="83"/>
      <c r="E166" s="90">
        <f>B166*D166</f>
        <v>0</v>
      </c>
      <c r="F166" s="32"/>
    </row>
    <row r="167" spans="1:6" ht="15.75" hidden="1" customHeight="1" outlineLevel="1" x14ac:dyDescent="0.2">
      <c r="A167" s="35" t="s">
        <v>194</v>
      </c>
      <c r="B167" s="80"/>
      <c r="C167" s="80"/>
      <c r="D167" s="80"/>
      <c r="E167" s="78"/>
      <c r="F167" s="32"/>
    </row>
    <row r="168" spans="1:6" ht="22.5" hidden="1" customHeight="1" outlineLevel="1" x14ac:dyDescent="0.25">
      <c r="A168" s="33" t="s">
        <v>195</v>
      </c>
      <c r="B168" s="79">
        <v>250</v>
      </c>
      <c r="C168" s="79" t="s">
        <v>15</v>
      </c>
      <c r="D168" s="83"/>
      <c r="E168" s="90">
        <f>B168*D168</f>
        <v>0</v>
      </c>
      <c r="F168" s="32"/>
    </row>
    <row r="169" spans="1:6" ht="15.75" hidden="1" customHeight="1" outlineLevel="1" x14ac:dyDescent="0.2">
      <c r="A169" s="35" t="s">
        <v>196</v>
      </c>
      <c r="B169" s="80"/>
      <c r="C169" s="80"/>
      <c r="D169" s="80"/>
      <c r="E169" s="78"/>
      <c r="F169" s="32"/>
    </row>
    <row r="170" spans="1:6" ht="22.5" hidden="1" customHeight="1" outlineLevel="2" x14ac:dyDescent="0.25">
      <c r="A170" s="33" t="s">
        <v>197</v>
      </c>
      <c r="B170" s="79">
        <v>150</v>
      </c>
      <c r="C170" s="79" t="s">
        <v>15</v>
      </c>
      <c r="D170" s="83"/>
      <c r="E170" s="90">
        <f>B170*D170</f>
        <v>0</v>
      </c>
      <c r="F170" s="32"/>
    </row>
    <row r="171" spans="1:6" ht="15.75" hidden="1" customHeight="1" outlineLevel="2" x14ac:dyDescent="0.2">
      <c r="A171" s="35" t="s">
        <v>198</v>
      </c>
      <c r="B171" s="80"/>
      <c r="C171" s="80"/>
      <c r="D171" s="80"/>
      <c r="E171" s="78"/>
      <c r="F171" s="32"/>
    </row>
    <row r="172" spans="1:6" ht="11.25" customHeight="1" x14ac:dyDescent="0.2">
      <c r="A172" s="84" t="s">
        <v>12</v>
      </c>
      <c r="B172" s="85"/>
      <c r="C172" s="85"/>
      <c r="D172" s="85"/>
      <c r="E172" s="85"/>
      <c r="F172" s="17"/>
    </row>
    <row r="173" spans="1:6" ht="22.5" customHeight="1" collapsed="1" x14ac:dyDescent="0.2">
      <c r="A173" s="86" t="s">
        <v>199</v>
      </c>
      <c r="B173" s="87"/>
      <c r="C173" s="87"/>
      <c r="D173" s="88"/>
      <c r="E173" s="31"/>
      <c r="F173" s="27">
        <f>SUM(E174:E193)</f>
        <v>0</v>
      </c>
    </row>
    <row r="174" spans="1:6" ht="22.5" hidden="1" customHeight="1" outlineLevel="1" x14ac:dyDescent="0.25">
      <c r="A174" s="33" t="s">
        <v>200</v>
      </c>
      <c r="B174" s="79">
        <v>25</v>
      </c>
      <c r="C174" s="79" t="s">
        <v>36</v>
      </c>
      <c r="D174" s="83"/>
      <c r="E174" s="81">
        <f>B174*D174</f>
        <v>0</v>
      </c>
      <c r="F174" s="91" t="s">
        <v>201</v>
      </c>
    </row>
    <row r="175" spans="1:6" ht="15.75" hidden="1" customHeight="1" outlineLevel="1" x14ac:dyDescent="0.2">
      <c r="A175" s="35" t="s">
        <v>202</v>
      </c>
      <c r="B175" s="80"/>
      <c r="C175" s="80"/>
      <c r="D175" s="80"/>
      <c r="E175" s="82"/>
      <c r="F175" s="78"/>
    </row>
    <row r="176" spans="1:6" ht="22.5" hidden="1" customHeight="1" outlineLevel="1" x14ac:dyDescent="0.25">
      <c r="A176" s="33" t="s">
        <v>203</v>
      </c>
      <c r="B176" s="79">
        <v>15</v>
      </c>
      <c r="C176" s="79" t="s">
        <v>36</v>
      </c>
      <c r="D176" s="83"/>
      <c r="E176" s="90">
        <f>B176*D176</f>
        <v>0</v>
      </c>
      <c r="F176" s="24"/>
    </row>
    <row r="177" spans="1:6" ht="15.75" hidden="1" customHeight="1" outlineLevel="1" x14ac:dyDescent="0.2">
      <c r="A177" s="35" t="s">
        <v>202</v>
      </c>
      <c r="B177" s="80"/>
      <c r="C177" s="80"/>
      <c r="D177" s="80"/>
      <c r="E177" s="78"/>
      <c r="F177" s="24"/>
    </row>
    <row r="178" spans="1:6" ht="22.5" hidden="1" customHeight="1" outlineLevel="2" x14ac:dyDescent="0.25">
      <c r="A178" s="33" t="s">
        <v>204</v>
      </c>
      <c r="B178" s="79">
        <v>1500</v>
      </c>
      <c r="C178" s="79" t="s">
        <v>15</v>
      </c>
      <c r="D178" s="83"/>
      <c r="E178" s="90">
        <f>B178*D178</f>
        <v>0</v>
      </c>
      <c r="F178" s="32"/>
    </row>
    <row r="179" spans="1:6" ht="15.75" hidden="1" customHeight="1" outlineLevel="2" x14ac:dyDescent="0.2">
      <c r="A179" s="35" t="s">
        <v>205</v>
      </c>
      <c r="B179" s="80"/>
      <c r="C179" s="80"/>
      <c r="D179" s="80"/>
      <c r="E179" s="78"/>
      <c r="F179" s="32"/>
    </row>
    <row r="180" spans="1:6" ht="22.5" hidden="1" customHeight="1" outlineLevel="2" x14ac:dyDescent="0.25">
      <c r="A180" s="33" t="s">
        <v>206</v>
      </c>
      <c r="B180" s="79">
        <v>3500</v>
      </c>
      <c r="C180" s="79" t="s">
        <v>15</v>
      </c>
      <c r="D180" s="83"/>
      <c r="E180" s="90">
        <f>B180*D180</f>
        <v>0</v>
      </c>
      <c r="F180" s="32"/>
    </row>
    <row r="181" spans="1:6" ht="15.75" hidden="1" customHeight="1" outlineLevel="2" x14ac:dyDescent="0.2">
      <c r="A181" s="35" t="s">
        <v>207</v>
      </c>
      <c r="B181" s="80"/>
      <c r="C181" s="80"/>
      <c r="D181" s="80"/>
      <c r="E181" s="78"/>
      <c r="F181" s="32"/>
    </row>
    <row r="182" spans="1:6" ht="22.5" hidden="1" customHeight="1" outlineLevel="1" x14ac:dyDescent="0.25">
      <c r="A182" s="33" t="s">
        <v>208</v>
      </c>
      <c r="B182" s="79">
        <v>1500</v>
      </c>
      <c r="C182" s="79" t="s">
        <v>15</v>
      </c>
      <c r="D182" s="83"/>
      <c r="E182" s="90">
        <f>B182*D182</f>
        <v>0</v>
      </c>
      <c r="F182" s="32"/>
    </row>
    <row r="183" spans="1:6" ht="15.75" hidden="1" customHeight="1" outlineLevel="1" x14ac:dyDescent="0.2">
      <c r="A183" s="35" t="s">
        <v>209</v>
      </c>
      <c r="B183" s="80"/>
      <c r="C183" s="80"/>
      <c r="D183" s="80"/>
      <c r="E183" s="78"/>
      <c r="F183" s="32"/>
    </row>
    <row r="184" spans="1:6" ht="22.5" hidden="1" customHeight="1" outlineLevel="1" x14ac:dyDescent="0.25">
      <c r="A184" s="33" t="s">
        <v>210</v>
      </c>
      <c r="B184" s="79">
        <v>3500</v>
      </c>
      <c r="C184" s="79" t="s">
        <v>15</v>
      </c>
      <c r="D184" s="83"/>
      <c r="E184" s="90">
        <f>B184*D184</f>
        <v>0</v>
      </c>
      <c r="F184" s="32"/>
    </row>
    <row r="185" spans="1:6" ht="15.75" hidden="1" customHeight="1" outlineLevel="1" x14ac:dyDescent="0.2">
      <c r="A185" s="35" t="s">
        <v>211</v>
      </c>
      <c r="B185" s="80"/>
      <c r="C185" s="80"/>
      <c r="D185" s="80"/>
      <c r="E185" s="78"/>
      <c r="F185" s="32"/>
    </row>
    <row r="186" spans="1:6" ht="22.5" hidden="1" customHeight="1" outlineLevel="1" x14ac:dyDescent="0.25">
      <c r="A186" s="33" t="s">
        <v>212</v>
      </c>
      <c r="B186" s="79">
        <v>1500</v>
      </c>
      <c r="C186" s="79" t="s">
        <v>15</v>
      </c>
      <c r="D186" s="83"/>
      <c r="E186" s="90">
        <f>B186*D186</f>
        <v>0</v>
      </c>
      <c r="F186" s="32"/>
    </row>
    <row r="187" spans="1:6" ht="15.75" hidden="1" customHeight="1" outlineLevel="1" x14ac:dyDescent="0.2">
      <c r="A187" s="35" t="s">
        <v>213</v>
      </c>
      <c r="B187" s="80"/>
      <c r="C187" s="80"/>
      <c r="D187" s="80"/>
      <c r="E187" s="78"/>
      <c r="F187" s="32"/>
    </row>
    <row r="188" spans="1:6" ht="22.5" hidden="1" customHeight="1" outlineLevel="1" x14ac:dyDescent="0.25">
      <c r="A188" s="33" t="s">
        <v>214</v>
      </c>
      <c r="B188" s="79">
        <v>3500</v>
      </c>
      <c r="C188" s="79" t="s">
        <v>15</v>
      </c>
      <c r="D188" s="83"/>
      <c r="E188" s="90">
        <f>B188*D188</f>
        <v>0</v>
      </c>
      <c r="F188" s="32"/>
    </row>
    <row r="189" spans="1:6" ht="15.75" hidden="1" customHeight="1" outlineLevel="1" x14ac:dyDescent="0.2">
      <c r="A189" s="35" t="s">
        <v>215</v>
      </c>
      <c r="B189" s="80"/>
      <c r="C189" s="80"/>
      <c r="D189" s="80"/>
      <c r="E189" s="78"/>
      <c r="F189" s="32"/>
    </row>
    <row r="190" spans="1:6" ht="22.5" hidden="1" customHeight="1" outlineLevel="1" x14ac:dyDescent="0.25">
      <c r="A190" s="33" t="s">
        <v>216</v>
      </c>
      <c r="B190" s="79">
        <v>1500</v>
      </c>
      <c r="C190" s="79" t="s">
        <v>15</v>
      </c>
      <c r="D190" s="83"/>
      <c r="E190" s="90">
        <f>B190*D190</f>
        <v>0</v>
      </c>
      <c r="F190" s="32"/>
    </row>
    <row r="191" spans="1:6" ht="15.75" hidden="1" customHeight="1" outlineLevel="1" x14ac:dyDescent="0.2">
      <c r="A191" s="35" t="s">
        <v>217</v>
      </c>
      <c r="B191" s="80"/>
      <c r="C191" s="80"/>
      <c r="D191" s="80"/>
      <c r="E191" s="78"/>
      <c r="F191" s="32"/>
    </row>
    <row r="192" spans="1:6" ht="22.5" hidden="1" customHeight="1" outlineLevel="1" x14ac:dyDescent="0.25">
      <c r="A192" s="33" t="s">
        <v>218</v>
      </c>
      <c r="B192" s="79">
        <v>3500</v>
      </c>
      <c r="C192" s="79" t="s">
        <v>15</v>
      </c>
      <c r="D192" s="83"/>
      <c r="E192" s="90">
        <f>B192*D192</f>
        <v>0</v>
      </c>
      <c r="F192" s="32"/>
    </row>
    <row r="193" spans="1:6" ht="15.75" hidden="1" customHeight="1" outlineLevel="1" x14ac:dyDescent="0.2">
      <c r="A193" s="35" t="s">
        <v>219</v>
      </c>
      <c r="B193" s="80"/>
      <c r="C193" s="80"/>
      <c r="D193" s="80"/>
      <c r="E193" s="78"/>
      <c r="F193" s="32"/>
    </row>
    <row r="194" spans="1:6" ht="11.25" customHeight="1" x14ac:dyDescent="0.2">
      <c r="A194" s="84" t="s">
        <v>12</v>
      </c>
      <c r="B194" s="85"/>
      <c r="C194" s="85"/>
      <c r="D194" s="85"/>
      <c r="E194" s="85"/>
      <c r="F194" s="17"/>
    </row>
    <row r="195" spans="1:6" ht="22.5" customHeight="1" collapsed="1" x14ac:dyDescent="0.2">
      <c r="A195" s="86" t="s">
        <v>220</v>
      </c>
      <c r="B195" s="87"/>
      <c r="C195" s="87"/>
      <c r="D195" s="88"/>
      <c r="E195" s="36"/>
      <c r="F195" s="37">
        <f>SUM(E196:E211)+SUM(E213:E286)</f>
        <v>0</v>
      </c>
    </row>
    <row r="196" spans="1:6" ht="22.5" hidden="1" customHeight="1" outlineLevel="2" x14ac:dyDescent="0.25">
      <c r="A196" s="33" t="s">
        <v>221</v>
      </c>
      <c r="B196" s="79">
        <v>3000</v>
      </c>
      <c r="C196" s="79" t="s">
        <v>15</v>
      </c>
      <c r="D196" s="83"/>
      <c r="E196" s="81">
        <f>B196*D196</f>
        <v>0</v>
      </c>
      <c r="F196" s="32"/>
    </row>
    <row r="197" spans="1:6" ht="15.75" hidden="1" customHeight="1" outlineLevel="2" x14ac:dyDescent="0.2">
      <c r="A197" s="35" t="s">
        <v>222</v>
      </c>
      <c r="B197" s="80"/>
      <c r="C197" s="80"/>
      <c r="D197" s="80"/>
      <c r="E197" s="82"/>
      <c r="F197" s="32"/>
    </row>
    <row r="198" spans="1:6" ht="22.5" hidden="1" customHeight="1" outlineLevel="1" x14ac:dyDescent="0.25">
      <c r="A198" s="33" t="s">
        <v>223</v>
      </c>
      <c r="B198" s="79">
        <v>2200</v>
      </c>
      <c r="C198" s="79" t="s">
        <v>15</v>
      </c>
      <c r="D198" s="83"/>
      <c r="E198" s="90">
        <f>B198*D198</f>
        <v>0</v>
      </c>
      <c r="F198" s="32"/>
    </row>
    <row r="199" spans="1:6" ht="15.75" hidden="1" customHeight="1" outlineLevel="1" x14ac:dyDescent="0.2">
      <c r="A199" s="35" t="s">
        <v>224</v>
      </c>
      <c r="B199" s="80"/>
      <c r="C199" s="80"/>
      <c r="D199" s="80"/>
      <c r="E199" s="78"/>
      <c r="F199" s="32"/>
    </row>
    <row r="200" spans="1:6" ht="22.5" hidden="1" customHeight="1" outlineLevel="1" x14ac:dyDescent="0.25">
      <c r="A200" s="33" t="s">
        <v>225</v>
      </c>
      <c r="B200" s="79">
        <v>500</v>
      </c>
      <c r="C200" s="79" t="s">
        <v>15</v>
      </c>
      <c r="D200" s="83"/>
      <c r="E200" s="90">
        <f>B200*D200</f>
        <v>0</v>
      </c>
      <c r="F200" s="32"/>
    </row>
    <row r="201" spans="1:6" ht="15.75" hidden="1" customHeight="1" outlineLevel="1" x14ac:dyDescent="0.2">
      <c r="A201" s="35" t="s">
        <v>226</v>
      </c>
      <c r="B201" s="80"/>
      <c r="C201" s="80"/>
      <c r="D201" s="80"/>
      <c r="E201" s="78"/>
      <c r="F201" s="32"/>
    </row>
    <row r="202" spans="1:6" ht="22.5" hidden="1" customHeight="1" outlineLevel="2" x14ac:dyDescent="0.25">
      <c r="A202" s="33" t="s">
        <v>227</v>
      </c>
      <c r="B202" s="79">
        <v>500</v>
      </c>
      <c r="C202" s="79" t="s">
        <v>15</v>
      </c>
      <c r="D202" s="83"/>
      <c r="E202" s="90">
        <f>B202*D202</f>
        <v>0</v>
      </c>
      <c r="F202" s="91" t="s">
        <v>228</v>
      </c>
    </row>
    <row r="203" spans="1:6" ht="15.75" hidden="1" customHeight="1" outlineLevel="2" x14ac:dyDescent="0.2">
      <c r="A203" s="35" t="s">
        <v>229</v>
      </c>
      <c r="B203" s="80"/>
      <c r="C203" s="80"/>
      <c r="D203" s="80"/>
      <c r="E203" s="78"/>
      <c r="F203" s="78"/>
    </row>
    <row r="204" spans="1:6" ht="22.5" hidden="1" customHeight="1" outlineLevel="2" x14ac:dyDescent="0.25">
      <c r="A204" s="33" t="s">
        <v>230</v>
      </c>
      <c r="B204" s="79">
        <v>1200</v>
      </c>
      <c r="C204" s="79" t="s">
        <v>15</v>
      </c>
      <c r="D204" s="83"/>
      <c r="E204" s="90">
        <f>B204*D204</f>
        <v>0</v>
      </c>
      <c r="F204" s="32"/>
    </row>
    <row r="205" spans="1:6" ht="15.75" hidden="1" customHeight="1" outlineLevel="2" x14ac:dyDescent="0.2">
      <c r="A205" s="35" t="s">
        <v>231</v>
      </c>
      <c r="B205" s="80"/>
      <c r="C205" s="80"/>
      <c r="D205" s="80"/>
      <c r="E205" s="78"/>
      <c r="F205" s="32"/>
    </row>
    <row r="206" spans="1:6" ht="22.5" hidden="1" customHeight="1" outlineLevel="2" x14ac:dyDescent="0.25">
      <c r="A206" s="33" t="s">
        <v>232</v>
      </c>
      <c r="B206" s="79">
        <v>1500</v>
      </c>
      <c r="C206" s="79" t="s">
        <v>15</v>
      </c>
      <c r="D206" s="83"/>
      <c r="E206" s="90">
        <f>B206*D206</f>
        <v>0</v>
      </c>
      <c r="F206" s="32"/>
    </row>
    <row r="207" spans="1:6" ht="15.75" hidden="1" customHeight="1" outlineLevel="2" x14ac:dyDescent="0.2">
      <c r="A207" s="35" t="s">
        <v>233</v>
      </c>
      <c r="B207" s="80"/>
      <c r="C207" s="80"/>
      <c r="D207" s="80"/>
      <c r="E207" s="78"/>
      <c r="F207" s="32"/>
    </row>
    <row r="208" spans="1:6" ht="22.5" hidden="1" customHeight="1" outlineLevel="2" x14ac:dyDescent="0.25">
      <c r="A208" s="33" t="s">
        <v>234</v>
      </c>
      <c r="B208" s="79">
        <v>700</v>
      </c>
      <c r="C208" s="79" t="s">
        <v>15</v>
      </c>
      <c r="D208" s="83"/>
      <c r="E208" s="90">
        <f>B208*D208</f>
        <v>0</v>
      </c>
      <c r="F208" s="32"/>
    </row>
    <row r="209" spans="1:6" ht="15.75" hidden="1" customHeight="1" outlineLevel="2" x14ac:dyDescent="0.2">
      <c r="A209" s="35" t="s">
        <v>235</v>
      </c>
      <c r="B209" s="80"/>
      <c r="C209" s="80"/>
      <c r="D209" s="80"/>
      <c r="E209" s="78"/>
      <c r="F209" s="32"/>
    </row>
    <row r="210" spans="1:6" ht="22.5" hidden="1" customHeight="1" outlineLevel="1" x14ac:dyDescent="0.25">
      <c r="A210" s="33" t="s">
        <v>236</v>
      </c>
      <c r="B210" s="79">
        <v>700</v>
      </c>
      <c r="C210" s="79" t="s">
        <v>15</v>
      </c>
      <c r="D210" s="83"/>
      <c r="E210" s="81">
        <f>B210*D210</f>
        <v>0</v>
      </c>
      <c r="F210" s="91" t="s">
        <v>237</v>
      </c>
    </row>
    <row r="211" spans="1:6" ht="15.75" hidden="1" customHeight="1" outlineLevel="1" x14ac:dyDescent="0.2">
      <c r="A211" s="35" t="s">
        <v>238</v>
      </c>
      <c r="B211" s="80"/>
      <c r="C211" s="80"/>
      <c r="D211" s="80"/>
      <c r="E211" s="82"/>
      <c r="F211" s="78"/>
    </row>
    <row r="212" spans="1:6" ht="15.75" hidden="1" customHeight="1" outlineLevel="1" x14ac:dyDescent="0.2">
      <c r="A212" s="95" t="s">
        <v>239</v>
      </c>
      <c r="B212" s="94"/>
      <c r="C212" s="94"/>
      <c r="D212" s="94"/>
      <c r="E212" s="38"/>
      <c r="F212" s="32"/>
    </row>
    <row r="213" spans="1:6" ht="22.5" hidden="1" customHeight="1" outlineLevel="1" x14ac:dyDescent="0.25">
      <c r="A213" s="33" t="s">
        <v>240</v>
      </c>
      <c r="B213" s="79">
        <v>200</v>
      </c>
      <c r="C213" s="79" t="s">
        <v>15</v>
      </c>
      <c r="D213" s="83"/>
      <c r="E213" s="81">
        <f>B213*D213</f>
        <v>0</v>
      </c>
      <c r="F213" s="32"/>
    </row>
    <row r="214" spans="1:6" ht="15.75" hidden="1" customHeight="1" outlineLevel="1" x14ac:dyDescent="0.2">
      <c r="A214" s="35" t="s">
        <v>241</v>
      </c>
      <c r="B214" s="80"/>
      <c r="C214" s="80"/>
      <c r="D214" s="80"/>
      <c r="E214" s="82"/>
      <c r="F214" s="32"/>
    </row>
    <row r="215" spans="1:6" ht="22.5" hidden="1" customHeight="1" outlineLevel="2" x14ac:dyDescent="0.25">
      <c r="A215" s="33" t="s">
        <v>242</v>
      </c>
      <c r="B215" s="79">
        <v>245</v>
      </c>
      <c r="C215" s="79" t="s">
        <v>15</v>
      </c>
      <c r="D215" s="83"/>
      <c r="E215" s="81">
        <f>B215*D215</f>
        <v>0</v>
      </c>
      <c r="F215" s="32"/>
    </row>
    <row r="216" spans="1:6" ht="15.75" hidden="1" customHeight="1" outlineLevel="2" x14ac:dyDescent="0.2">
      <c r="A216" s="35" t="s">
        <v>243</v>
      </c>
      <c r="B216" s="80"/>
      <c r="C216" s="80"/>
      <c r="D216" s="80"/>
      <c r="E216" s="82"/>
      <c r="F216" s="32"/>
    </row>
    <row r="217" spans="1:6" ht="22.5" hidden="1" customHeight="1" outlineLevel="2" x14ac:dyDescent="0.25">
      <c r="A217" s="33" t="s">
        <v>244</v>
      </c>
      <c r="B217" s="79">
        <v>300</v>
      </c>
      <c r="C217" s="79" t="s">
        <v>15</v>
      </c>
      <c r="D217" s="83"/>
      <c r="E217" s="81">
        <f>B217*D217</f>
        <v>0</v>
      </c>
      <c r="F217" s="32"/>
    </row>
    <row r="218" spans="1:6" ht="15.75" hidden="1" customHeight="1" outlineLevel="2" x14ac:dyDescent="0.2">
      <c r="A218" s="35" t="s">
        <v>245</v>
      </c>
      <c r="B218" s="80"/>
      <c r="C218" s="80"/>
      <c r="D218" s="80"/>
      <c r="E218" s="82"/>
      <c r="F218" s="32"/>
    </row>
    <row r="219" spans="1:6" ht="22.5" hidden="1" customHeight="1" outlineLevel="2" x14ac:dyDescent="0.25">
      <c r="A219" s="33" t="s">
        <v>246</v>
      </c>
      <c r="B219" s="79">
        <v>55</v>
      </c>
      <c r="C219" s="79" t="s">
        <v>15</v>
      </c>
      <c r="D219" s="83"/>
      <c r="E219" s="81">
        <f>B219*D219</f>
        <v>0</v>
      </c>
      <c r="F219" s="32"/>
    </row>
    <row r="220" spans="1:6" ht="15.75" hidden="1" customHeight="1" outlineLevel="2" x14ac:dyDescent="0.2">
      <c r="A220" s="35" t="s">
        <v>247</v>
      </c>
      <c r="B220" s="80"/>
      <c r="C220" s="80"/>
      <c r="D220" s="80"/>
      <c r="E220" s="82"/>
      <c r="F220" s="32"/>
    </row>
    <row r="221" spans="1:6" ht="22.5" hidden="1" customHeight="1" outlineLevel="2" x14ac:dyDescent="0.25">
      <c r="A221" s="33" t="s">
        <v>248</v>
      </c>
      <c r="B221" s="79">
        <v>35</v>
      </c>
      <c r="C221" s="79" t="s">
        <v>15</v>
      </c>
      <c r="D221" s="83"/>
      <c r="E221" s="81">
        <f>B221*D221</f>
        <v>0</v>
      </c>
      <c r="F221" s="32"/>
    </row>
    <row r="222" spans="1:6" ht="15.75" hidden="1" customHeight="1" outlineLevel="2" x14ac:dyDescent="0.2">
      <c r="A222" s="35" t="s">
        <v>249</v>
      </c>
      <c r="B222" s="80"/>
      <c r="C222" s="80"/>
      <c r="D222" s="80"/>
      <c r="E222" s="82"/>
      <c r="F222" s="32"/>
    </row>
    <row r="223" spans="1:6" ht="22.5" hidden="1" customHeight="1" outlineLevel="2" x14ac:dyDescent="0.25">
      <c r="A223" s="33" t="s">
        <v>250</v>
      </c>
      <c r="B223" s="79">
        <v>30</v>
      </c>
      <c r="C223" s="79" t="s">
        <v>15</v>
      </c>
      <c r="D223" s="83"/>
      <c r="E223" s="81">
        <f>B223*D223</f>
        <v>0</v>
      </c>
      <c r="F223" s="32"/>
    </row>
    <row r="224" spans="1:6" ht="15.75" hidden="1" customHeight="1" outlineLevel="2" x14ac:dyDescent="0.2">
      <c r="A224" s="35" t="s">
        <v>251</v>
      </c>
      <c r="B224" s="80"/>
      <c r="C224" s="80"/>
      <c r="D224" s="80"/>
      <c r="E224" s="82"/>
      <c r="F224" s="32"/>
    </row>
    <row r="225" spans="1:6" ht="22.5" hidden="1" customHeight="1" outlineLevel="2" x14ac:dyDescent="0.25">
      <c r="A225" s="33" t="s">
        <v>252</v>
      </c>
      <c r="B225" s="79">
        <v>15</v>
      </c>
      <c r="C225" s="79" t="s">
        <v>15</v>
      </c>
      <c r="D225" s="83"/>
      <c r="E225" s="81">
        <f>B225*D225</f>
        <v>0</v>
      </c>
      <c r="F225" s="32"/>
    </row>
    <row r="226" spans="1:6" ht="15.75" hidden="1" customHeight="1" outlineLevel="2" x14ac:dyDescent="0.2">
      <c r="A226" s="35" t="s">
        <v>253</v>
      </c>
      <c r="B226" s="80"/>
      <c r="C226" s="80"/>
      <c r="D226" s="80"/>
      <c r="E226" s="82"/>
      <c r="F226" s="32"/>
    </row>
    <row r="227" spans="1:6" ht="22.5" hidden="1" customHeight="1" outlineLevel="2" x14ac:dyDescent="0.25">
      <c r="A227" s="33" t="s">
        <v>254</v>
      </c>
      <c r="B227" s="79">
        <v>130</v>
      </c>
      <c r="C227" s="79" t="s">
        <v>15</v>
      </c>
      <c r="D227" s="83"/>
      <c r="E227" s="81">
        <f>B227*D227</f>
        <v>0</v>
      </c>
      <c r="F227" s="32"/>
    </row>
    <row r="228" spans="1:6" ht="15.75" hidden="1" customHeight="1" outlineLevel="2" x14ac:dyDescent="0.2">
      <c r="A228" s="35" t="s">
        <v>255</v>
      </c>
      <c r="B228" s="80"/>
      <c r="C228" s="80"/>
      <c r="D228" s="80"/>
      <c r="E228" s="82"/>
      <c r="F228" s="32"/>
    </row>
    <row r="229" spans="1:6" ht="22.5" hidden="1" customHeight="1" outlineLevel="2" x14ac:dyDescent="0.25">
      <c r="A229" s="33" t="s">
        <v>256</v>
      </c>
      <c r="B229" s="79">
        <v>300</v>
      </c>
      <c r="C229" s="79" t="s">
        <v>15</v>
      </c>
      <c r="D229" s="83"/>
      <c r="E229" s="81">
        <f>B229*D229</f>
        <v>0</v>
      </c>
      <c r="F229" s="32"/>
    </row>
    <row r="230" spans="1:6" ht="15.75" hidden="1" customHeight="1" outlineLevel="2" x14ac:dyDescent="0.2">
      <c r="A230" s="35" t="s">
        <v>257</v>
      </c>
      <c r="B230" s="80"/>
      <c r="C230" s="80"/>
      <c r="D230" s="80"/>
      <c r="E230" s="82"/>
      <c r="F230" s="32"/>
    </row>
    <row r="231" spans="1:6" ht="22.5" hidden="1" customHeight="1" outlineLevel="2" x14ac:dyDescent="0.25">
      <c r="A231" s="33" t="s">
        <v>258</v>
      </c>
      <c r="B231" s="79">
        <v>95</v>
      </c>
      <c r="C231" s="79" t="s">
        <v>15</v>
      </c>
      <c r="D231" s="83"/>
      <c r="E231" s="81">
        <f>B231*D231</f>
        <v>0</v>
      </c>
      <c r="F231" s="32"/>
    </row>
    <row r="232" spans="1:6" ht="15.75" hidden="1" customHeight="1" outlineLevel="2" x14ac:dyDescent="0.2">
      <c r="A232" s="35" t="s">
        <v>259</v>
      </c>
      <c r="B232" s="80"/>
      <c r="C232" s="80"/>
      <c r="D232" s="80"/>
      <c r="E232" s="82"/>
      <c r="F232" s="32"/>
    </row>
    <row r="233" spans="1:6" ht="22.5" hidden="1" customHeight="1" outlineLevel="1" x14ac:dyDescent="0.25">
      <c r="A233" s="33" t="s">
        <v>260</v>
      </c>
      <c r="B233" s="79">
        <v>200</v>
      </c>
      <c r="C233" s="79" t="s">
        <v>15</v>
      </c>
      <c r="D233" s="83"/>
      <c r="E233" s="81">
        <f>B233*D233</f>
        <v>0</v>
      </c>
      <c r="F233" s="32"/>
    </row>
    <row r="234" spans="1:6" ht="15.75" hidden="1" customHeight="1" outlineLevel="1" x14ac:dyDescent="0.2">
      <c r="A234" s="35" t="s">
        <v>261</v>
      </c>
      <c r="B234" s="80"/>
      <c r="C234" s="80"/>
      <c r="D234" s="80"/>
      <c r="E234" s="82"/>
      <c r="F234" s="32"/>
    </row>
    <row r="235" spans="1:6" ht="22.5" hidden="1" customHeight="1" outlineLevel="2" x14ac:dyDescent="0.25">
      <c r="A235" s="33" t="s">
        <v>262</v>
      </c>
      <c r="B235" s="79">
        <v>165</v>
      </c>
      <c r="C235" s="79" t="s">
        <v>15</v>
      </c>
      <c r="D235" s="83"/>
      <c r="E235" s="81">
        <f>B235*D235</f>
        <v>0</v>
      </c>
      <c r="F235" s="32"/>
    </row>
    <row r="236" spans="1:6" ht="15.75" hidden="1" customHeight="1" outlineLevel="2" x14ac:dyDescent="0.2">
      <c r="A236" s="35" t="s">
        <v>263</v>
      </c>
      <c r="B236" s="80"/>
      <c r="C236" s="80"/>
      <c r="D236" s="80"/>
      <c r="E236" s="82"/>
      <c r="F236" s="32"/>
    </row>
    <row r="237" spans="1:6" ht="22.5" hidden="1" customHeight="1" outlineLevel="2" x14ac:dyDescent="0.25">
      <c r="A237" s="33" t="s">
        <v>264</v>
      </c>
      <c r="B237" s="79">
        <v>90</v>
      </c>
      <c r="C237" s="79" t="s">
        <v>15</v>
      </c>
      <c r="D237" s="83"/>
      <c r="E237" s="81">
        <f>B237*D237</f>
        <v>0</v>
      </c>
      <c r="F237" s="32"/>
    </row>
    <row r="238" spans="1:6" ht="15.75" hidden="1" customHeight="1" outlineLevel="2" x14ac:dyDescent="0.2">
      <c r="A238" s="35" t="s">
        <v>265</v>
      </c>
      <c r="B238" s="80"/>
      <c r="C238" s="80"/>
      <c r="D238" s="80"/>
      <c r="E238" s="82"/>
      <c r="F238" s="32"/>
    </row>
    <row r="239" spans="1:6" ht="22.5" hidden="1" customHeight="1" outlineLevel="2" x14ac:dyDescent="0.25">
      <c r="A239" s="33" t="s">
        <v>266</v>
      </c>
      <c r="B239" s="79">
        <v>200</v>
      </c>
      <c r="C239" s="79" t="s">
        <v>15</v>
      </c>
      <c r="D239" s="83"/>
      <c r="E239" s="81">
        <f>B239*D239</f>
        <v>0</v>
      </c>
      <c r="F239" s="91" t="s">
        <v>267</v>
      </c>
    </row>
    <row r="240" spans="1:6" ht="15.75" hidden="1" customHeight="1" outlineLevel="2" x14ac:dyDescent="0.2">
      <c r="A240" s="35" t="s">
        <v>268</v>
      </c>
      <c r="B240" s="80"/>
      <c r="C240" s="80"/>
      <c r="D240" s="80"/>
      <c r="E240" s="82"/>
      <c r="F240" s="78"/>
    </row>
    <row r="241" spans="1:6" ht="22.5" hidden="1" customHeight="1" outlineLevel="1" x14ac:dyDescent="0.25">
      <c r="A241" s="33" t="s">
        <v>269</v>
      </c>
      <c r="B241" s="79">
        <v>200</v>
      </c>
      <c r="C241" s="79" t="s">
        <v>15</v>
      </c>
      <c r="D241" s="83"/>
      <c r="E241" s="81">
        <f>B241*D241</f>
        <v>0</v>
      </c>
      <c r="F241" s="32"/>
    </row>
    <row r="242" spans="1:6" ht="15.75" hidden="1" customHeight="1" outlineLevel="1" x14ac:dyDescent="0.2">
      <c r="A242" s="35" t="s">
        <v>270</v>
      </c>
      <c r="B242" s="80"/>
      <c r="C242" s="80"/>
      <c r="D242" s="80"/>
      <c r="E242" s="82"/>
      <c r="F242" s="32"/>
    </row>
    <row r="243" spans="1:6" ht="22.5" hidden="1" customHeight="1" outlineLevel="2" x14ac:dyDescent="0.25">
      <c r="A243" s="33" t="s">
        <v>271</v>
      </c>
      <c r="B243" s="79">
        <v>120</v>
      </c>
      <c r="C243" s="79" t="s">
        <v>15</v>
      </c>
      <c r="D243" s="83"/>
      <c r="E243" s="81">
        <f>B243*D243</f>
        <v>0</v>
      </c>
      <c r="F243" s="32"/>
    </row>
    <row r="244" spans="1:6" ht="15.75" hidden="1" customHeight="1" outlineLevel="2" x14ac:dyDescent="0.2">
      <c r="A244" s="35" t="s">
        <v>272</v>
      </c>
      <c r="B244" s="80"/>
      <c r="C244" s="80"/>
      <c r="D244" s="80"/>
      <c r="E244" s="82"/>
      <c r="F244" s="32"/>
    </row>
    <row r="245" spans="1:6" ht="22.5" hidden="1" customHeight="1" outlineLevel="2" x14ac:dyDescent="0.25">
      <c r="A245" s="33" t="s">
        <v>273</v>
      </c>
      <c r="B245" s="79">
        <v>680</v>
      </c>
      <c r="C245" s="79" t="s">
        <v>15</v>
      </c>
      <c r="D245" s="83"/>
      <c r="E245" s="81">
        <f>B245*D245</f>
        <v>0</v>
      </c>
      <c r="F245" s="91" t="s">
        <v>267</v>
      </c>
    </row>
    <row r="246" spans="1:6" ht="15.75" hidden="1" customHeight="1" outlineLevel="2" x14ac:dyDescent="0.2">
      <c r="A246" s="35" t="s">
        <v>274</v>
      </c>
      <c r="B246" s="80"/>
      <c r="C246" s="80"/>
      <c r="D246" s="80"/>
      <c r="E246" s="82"/>
      <c r="F246" s="78"/>
    </row>
    <row r="247" spans="1:6" ht="22.5" hidden="1" customHeight="1" outlineLevel="2" x14ac:dyDescent="0.25">
      <c r="A247" s="33" t="s">
        <v>275</v>
      </c>
      <c r="B247" s="79">
        <v>565</v>
      </c>
      <c r="C247" s="79" t="s">
        <v>15</v>
      </c>
      <c r="D247" s="83"/>
      <c r="E247" s="81">
        <f>B247*D247</f>
        <v>0</v>
      </c>
      <c r="F247" s="24"/>
    </row>
    <row r="248" spans="1:6" ht="15.75" hidden="1" customHeight="1" outlineLevel="2" x14ac:dyDescent="0.2">
      <c r="A248" s="35" t="s">
        <v>276</v>
      </c>
      <c r="B248" s="80"/>
      <c r="C248" s="80"/>
      <c r="D248" s="80"/>
      <c r="E248" s="82"/>
      <c r="F248" s="24"/>
    </row>
    <row r="249" spans="1:6" ht="22.5" hidden="1" customHeight="1" outlineLevel="1" x14ac:dyDescent="0.25">
      <c r="A249" s="33" t="s">
        <v>277</v>
      </c>
      <c r="B249" s="79">
        <v>250</v>
      </c>
      <c r="C249" s="79" t="s">
        <v>15</v>
      </c>
      <c r="D249" s="83"/>
      <c r="E249" s="81">
        <f>B249*D249</f>
        <v>0</v>
      </c>
      <c r="F249" s="32"/>
    </row>
    <row r="250" spans="1:6" ht="15.75" hidden="1" customHeight="1" outlineLevel="1" x14ac:dyDescent="0.2">
      <c r="A250" s="35" t="s">
        <v>278</v>
      </c>
      <c r="B250" s="80"/>
      <c r="C250" s="80"/>
      <c r="D250" s="80"/>
      <c r="E250" s="82"/>
      <c r="F250" s="32"/>
    </row>
    <row r="251" spans="1:6" ht="22.5" hidden="1" customHeight="1" outlineLevel="2" x14ac:dyDescent="0.25">
      <c r="A251" s="33" t="s">
        <v>279</v>
      </c>
      <c r="B251" s="79">
        <v>215</v>
      </c>
      <c r="C251" s="79" t="s">
        <v>15</v>
      </c>
      <c r="D251" s="83"/>
      <c r="E251" s="81">
        <f>B251*D251</f>
        <v>0</v>
      </c>
      <c r="F251" s="32"/>
    </row>
    <row r="252" spans="1:6" ht="15.75" hidden="1" customHeight="1" outlineLevel="2" x14ac:dyDescent="0.2">
      <c r="A252" s="35" t="s">
        <v>280</v>
      </c>
      <c r="B252" s="80"/>
      <c r="C252" s="80"/>
      <c r="D252" s="80"/>
      <c r="E252" s="82"/>
      <c r="F252" s="32"/>
    </row>
    <row r="253" spans="1:6" ht="22.5" hidden="1" customHeight="1" outlineLevel="2" x14ac:dyDescent="0.25">
      <c r="A253" s="33" t="s">
        <v>281</v>
      </c>
      <c r="B253" s="79">
        <v>200</v>
      </c>
      <c r="C253" s="79" t="s">
        <v>15</v>
      </c>
      <c r="D253" s="83"/>
      <c r="E253" s="81">
        <f>B253*D253</f>
        <v>0</v>
      </c>
      <c r="F253" s="32"/>
    </row>
    <row r="254" spans="1:6" ht="15.75" hidden="1" customHeight="1" outlineLevel="2" x14ac:dyDescent="0.2">
      <c r="A254" s="35" t="s">
        <v>282</v>
      </c>
      <c r="B254" s="80"/>
      <c r="C254" s="80"/>
      <c r="D254" s="80"/>
      <c r="E254" s="82"/>
      <c r="F254" s="32"/>
    </row>
    <row r="255" spans="1:6" ht="22.5" hidden="1" customHeight="1" outlineLevel="2" x14ac:dyDescent="0.25">
      <c r="A255" s="33" t="s">
        <v>283</v>
      </c>
      <c r="B255" s="79">
        <v>100</v>
      </c>
      <c r="C255" s="79" t="s">
        <v>15</v>
      </c>
      <c r="D255" s="83"/>
      <c r="E255" s="81">
        <f>B255*D255</f>
        <v>0</v>
      </c>
      <c r="F255" s="32"/>
    </row>
    <row r="256" spans="1:6" ht="15.75" hidden="1" customHeight="1" outlineLevel="2" x14ac:dyDescent="0.2">
      <c r="A256" s="35" t="s">
        <v>284</v>
      </c>
      <c r="B256" s="80"/>
      <c r="C256" s="80"/>
      <c r="D256" s="80"/>
      <c r="E256" s="82"/>
      <c r="F256" s="32"/>
    </row>
    <row r="257" spans="1:6" ht="22.5" hidden="1" customHeight="1" outlineLevel="2" x14ac:dyDescent="0.25">
      <c r="A257" s="33" t="s">
        <v>285</v>
      </c>
      <c r="B257" s="79">
        <v>150</v>
      </c>
      <c r="C257" s="79" t="s">
        <v>15</v>
      </c>
      <c r="D257" s="83"/>
      <c r="E257" s="81">
        <f>B257*D257</f>
        <v>0</v>
      </c>
      <c r="F257" s="32"/>
    </row>
    <row r="258" spans="1:6" ht="15.75" hidden="1" customHeight="1" outlineLevel="2" x14ac:dyDescent="0.2">
      <c r="A258" s="35" t="s">
        <v>286</v>
      </c>
      <c r="B258" s="80"/>
      <c r="C258" s="80"/>
      <c r="D258" s="80"/>
      <c r="E258" s="82"/>
      <c r="F258" s="32"/>
    </row>
    <row r="259" spans="1:6" ht="22.5" hidden="1" customHeight="1" outlineLevel="2" x14ac:dyDescent="0.25">
      <c r="A259" s="33" t="s">
        <v>287</v>
      </c>
      <c r="B259" s="79">
        <v>90</v>
      </c>
      <c r="C259" s="79" t="s">
        <v>15</v>
      </c>
      <c r="D259" s="83"/>
      <c r="E259" s="81">
        <f>B259*D259</f>
        <v>0</v>
      </c>
      <c r="F259" s="32"/>
    </row>
    <row r="260" spans="1:6" ht="15.75" hidden="1" customHeight="1" outlineLevel="2" x14ac:dyDescent="0.2">
      <c r="A260" s="35" t="s">
        <v>288</v>
      </c>
      <c r="B260" s="80"/>
      <c r="C260" s="80"/>
      <c r="D260" s="80"/>
      <c r="E260" s="82"/>
      <c r="F260" s="32"/>
    </row>
    <row r="261" spans="1:6" ht="22.5" hidden="1" customHeight="1" outlineLevel="2" x14ac:dyDescent="0.25">
      <c r="A261" s="33" t="s">
        <v>289</v>
      </c>
      <c r="B261" s="79">
        <v>1400</v>
      </c>
      <c r="C261" s="79" t="s">
        <v>15</v>
      </c>
      <c r="D261" s="83"/>
      <c r="E261" s="81">
        <f>B261*D261</f>
        <v>0</v>
      </c>
      <c r="F261" s="91" t="s">
        <v>267</v>
      </c>
    </row>
    <row r="262" spans="1:6" ht="15.75" hidden="1" customHeight="1" outlineLevel="2" x14ac:dyDescent="0.2">
      <c r="A262" s="35" t="s">
        <v>290</v>
      </c>
      <c r="B262" s="80"/>
      <c r="C262" s="80"/>
      <c r="D262" s="80"/>
      <c r="E262" s="82"/>
      <c r="F262" s="78"/>
    </row>
    <row r="263" spans="1:6" ht="22.5" hidden="1" customHeight="1" outlineLevel="2" x14ac:dyDescent="0.25">
      <c r="A263" s="33" t="s">
        <v>291</v>
      </c>
      <c r="B263" s="79">
        <v>1400</v>
      </c>
      <c r="C263" s="79" t="s">
        <v>15</v>
      </c>
      <c r="D263" s="83"/>
      <c r="E263" s="81">
        <f>B263*D263</f>
        <v>0</v>
      </c>
      <c r="F263" s="91" t="s">
        <v>267</v>
      </c>
    </row>
    <row r="264" spans="1:6" ht="15.75" hidden="1" customHeight="1" outlineLevel="2" x14ac:dyDescent="0.2">
      <c r="A264" s="35" t="s">
        <v>292</v>
      </c>
      <c r="B264" s="80"/>
      <c r="C264" s="80"/>
      <c r="D264" s="80"/>
      <c r="E264" s="82"/>
      <c r="F264" s="78"/>
    </row>
    <row r="265" spans="1:6" ht="22.5" hidden="1" customHeight="1" outlineLevel="2" x14ac:dyDescent="0.25">
      <c r="A265" s="33" t="s">
        <v>293</v>
      </c>
      <c r="B265" s="79">
        <v>185</v>
      </c>
      <c r="C265" s="79" t="s">
        <v>15</v>
      </c>
      <c r="D265" s="83"/>
      <c r="E265" s="81">
        <f>B265*D265</f>
        <v>0</v>
      </c>
      <c r="F265" s="24"/>
    </row>
    <row r="266" spans="1:6" ht="15.75" hidden="1" customHeight="1" outlineLevel="2" x14ac:dyDescent="0.2">
      <c r="A266" s="35" t="s">
        <v>294</v>
      </c>
      <c r="B266" s="80"/>
      <c r="C266" s="80"/>
      <c r="D266" s="80"/>
      <c r="E266" s="82"/>
      <c r="F266" s="24"/>
    </row>
    <row r="267" spans="1:6" ht="22.5" hidden="1" customHeight="1" outlineLevel="1" x14ac:dyDescent="0.25">
      <c r="A267" s="33" t="s">
        <v>295</v>
      </c>
      <c r="B267" s="79">
        <v>450</v>
      </c>
      <c r="C267" s="79" t="s">
        <v>15</v>
      </c>
      <c r="D267" s="83"/>
      <c r="E267" s="81">
        <f>B267*D267</f>
        <v>0</v>
      </c>
      <c r="F267" s="32"/>
    </row>
    <row r="268" spans="1:6" ht="15.75" hidden="1" customHeight="1" outlineLevel="1" x14ac:dyDescent="0.2">
      <c r="A268" s="35" t="s">
        <v>296</v>
      </c>
      <c r="B268" s="80"/>
      <c r="C268" s="80"/>
      <c r="D268" s="80"/>
      <c r="E268" s="82"/>
      <c r="F268" s="32"/>
    </row>
    <row r="269" spans="1:6" ht="22.5" hidden="1" customHeight="1" outlineLevel="2" x14ac:dyDescent="0.25">
      <c r="A269" s="33" t="s">
        <v>297</v>
      </c>
      <c r="B269" s="79">
        <v>265</v>
      </c>
      <c r="C269" s="79" t="s">
        <v>15</v>
      </c>
      <c r="D269" s="83"/>
      <c r="E269" s="81">
        <f>B269*D269</f>
        <v>0</v>
      </c>
      <c r="F269" s="32"/>
    </row>
    <row r="270" spans="1:6" ht="15.75" hidden="1" customHeight="1" outlineLevel="2" x14ac:dyDescent="0.2">
      <c r="A270" s="35" t="s">
        <v>298</v>
      </c>
      <c r="B270" s="80"/>
      <c r="C270" s="80"/>
      <c r="D270" s="80"/>
      <c r="E270" s="82"/>
      <c r="F270" s="32"/>
    </row>
    <row r="271" spans="1:6" ht="22.5" hidden="1" customHeight="1" outlineLevel="2" x14ac:dyDescent="0.25">
      <c r="A271" s="33" t="s">
        <v>299</v>
      </c>
      <c r="B271" s="79">
        <v>600</v>
      </c>
      <c r="C271" s="79" t="s">
        <v>15</v>
      </c>
      <c r="D271" s="83"/>
      <c r="E271" s="81">
        <f>B271*D271</f>
        <v>0</v>
      </c>
      <c r="F271" s="32"/>
    </row>
    <row r="272" spans="1:6" ht="15.75" hidden="1" customHeight="1" outlineLevel="2" x14ac:dyDescent="0.2">
      <c r="A272" s="35" t="s">
        <v>300</v>
      </c>
      <c r="B272" s="80"/>
      <c r="C272" s="80"/>
      <c r="D272" s="80"/>
      <c r="E272" s="82"/>
      <c r="F272" s="32"/>
    </row>
    <row r="273" spans="1:6" ht="22.5" hidden="1" customHeight="1" outlineLevel="2" x14ac:dyDescent="0.25">
      <c r="A273" s="33" t="s">
        <v>301</v>
      </c>
      <c r="B273" s="79">
        <v>720</v>
      </c>
      <c r="C273" s="79" t="s">
        <v>15</v>
      </c>
      <c r="D273" s="83"/>
      <c r="E273" s="81">
        <f>B273*D273</f>
        <v>0</v>
      </c>
      <c r="F273" s="32"/>
    </row>
    <row r="274" spans="1:6" ht="15.75" hidden="1" customHeight="1" outlineLevel="2" x14ac:dyDescent="0.2">
      <c r="A274" s="35" t="s">
        <v>302</v>
      </c>
      <c r="B274" s="80"/>
      <c r="C274" s="80"/>
      <c r="D274" s="80"/>
      <c r="E274" s="82"/>
      <c r="F274" s="32"/>
    </row>
    <row r="275" spans="1:6" ht="22.5" hidden="1" customHeight="1" outlineLevel="2" x14ac:dyDescent="0.25">
      <c r="A275" s="33" t="s">
        <v>303</v>
      </c>
      <c r="B275" s="79">
        <v>730</v>
      </c>
      <c r="C275" s="79" t="s">
        <v>15</v>
      </c>
      <c r="D275" s="83"/>
      <c r="E275" s="81">
        <f>B275*D275</f>
        <v>0</v>
      </c>
      <c r="F275" s="91" t="s">
        <v>304</v>
      </c>
    </row>
    <row r="276" spans="1:6" ht="15.75" hidden="1" customHeight="1" outlineLevel="2" x14ac:dyDescent="0.2">
      <c r="A276" s="35" t="s">
        <v>305</v>
      </c>
      <c r="B276" s="80"/>
      <c r="C276" s="80"/>
      <c r="D276" s="80"/>
      <c r="E276" s="82"/>
      <c r="F276" s="78"/>
    </row>
    <row r="277" spans="1:6" ht="22.5" hidden="1" customHeight="1" outlineLevel="2" x14ac:dyDescent="0.25">
      <c r="A277" s="33" t="s">
        <v>306</v>
      </c>
      <c r="B277" s="79">
        <v>340</v>
      </c>
      <c r="C277" s="79" t="s">
        <v>15</v>
      </c>
      <c r="D277" s="83"/>
      <c r="E277" s="81">
        <f>B277*D277</f>
        <v>0</v>
      </c>
      <c r="F277" s="32"/>
    </row>
    <row r="278" spans="1:6" ht="15.75" hidden="1" customHeight="1" outlineLevel="2" x14ac:dyDescent="0.2">
      <c r="A278" s="35" t="s">
        <v>307</v>
      </c>
      <c r="B278" s="80"/>
      <c r="C278" s="80"/>
      <c r="D278" s="80"/>
      <c r="E278" s="82"/>
      <c r="F278" s="32"/>
    </row>
    <row r="279" spans="1:6" ht="22.5" hidden="1" customHeight="1" outlineLevel="2" x14ac:dyDescent="0.25">
      <c r="A279" s="33" t="s">
        <v>308</v>
      </c>
      <c r="B279" s="79">
        <v>350</v>
      </c>
      <c r="C279" s="79" t="s">
        <v>15</v>
      </c>
      <c r="D279" s="83"/>
      <c r="E279" s="81">
        <f>B279*D279</f>
        <v>0</v>
      </c>
      <c r="F279" s="32"/>
    </row>
    <row r="280" spans="1:6" ht="15.75" hidden="1" customHeight="1" outlineLevel="2" x14ac:dyDescent="0.2">
      <c r="A280" s="35" t="s">
        <v>309</v>
      </c>
      <c r="B280" s="80"/>
      <c r="C280" s="80"/>
      <c r="D280" s="80"/>
      <c r="E280" s="82"/>
      <c r="F280" s="32"/>
    </row>
    <row r="281" spans="1:6" ht="22.5" hidden="1" customHeight="1" outlineLevel="2" x14ac:dyDescent="0.25">
      <c r="A281" s="33" t="s">
        <v>310</v>
      </c>
      <c r="B281" s="79">
        <v>640</v>
      </c>
      <c r="C281" s="79" t="s">
        <v>15</v>
      </c>
      <c r="D281" s="83"/>
      <c r="E281" s="81">
        <f>B281*D281</f>
        <v>0</v>
      </c>
      <c r="F281" s="32"/>
    </row>
    <row r="282" spans="1:6" ht="15.75" hidden="1" customHeight="1" outlineLevel="2" x14ac:dyDescent="0.2">
      <c r="A282" s="35" t="s">
        <v>311</v>
      </c>
      <c r="B282" s="80"/>
      <c r="C282" s="80"/>
      <c r="D282" s="80"/>
      <c r="E282" s="82"/>
      <c r="F282" s="32"/>
    </row>
    <row r="283" spans="1:6" ht="22.5" hidden="1" customHeight="1" outlineLevel="2" x14ac:dyDescent="0.25">
      <c r="A283" s="33" t="s">
        <v>312</v>
      </c>
      <c r="B283" s="79">
        <v>725</v>
      </c>
      <c r="C283" s="79" t="s">
        <v>15</v>
      </c>
      <c r="D283" s="83"/>
      <c r="E283" s="81">
        <f>B283*D283</f>
        <v>0</v>
      </c>
      <c r="F283" s="32"/>
    </row>
    <row r="284" spans="1:6" ht="15.75" hidden="1" customHeight="1" outlineLevel="2" x14ac:dyDescent="0.2">
      <c r="A284" s="35" t="s">
        <v>313</v>
      </c>
      <c r="B284" s="80"/>
      <c r="C284" s="80"/>
      <c r="D284" s="80"/>
      <c r="E284" s="82"/>
      <c r="F284" s="32"/>
    </row>
    <row r="285" spans="1:6" ht="22.5" hidden="1" customHeight="1" outlineLevel="2" x14ac:dyDescent="0.25">
      <c r="A285" s="33" t="s">
        <v>314</v>
      </c>
      <c r="B285" s="79">
        <v>600</v>
      </c>
      <c r="C285" s="79" t="s">
        <v>15</v>
      </c>
      <c r="D285" s="83"/>
      <c r="E285" s="81">
        <f>B285*D285</f>
        <v>0</v>
      </c>
      <c r="F285" s="32"/>
    </row>
    <row r="286" spans="1:6" ht="15.75" hidden="1" customHeight="1" outlineLevel="2" x14ac:dyDescent="0.2">
      <c r="A286" s="35" t="s">
        <v>315</v>
      </c>
      <c r="B286" s="80"/>
      <c r="C286" s="80"/>
      <c r="D286" s="80"/>
      <c r="E286" s="82"/>
      <c r="F286" s="32"/>
    </row>
    <row r="287" spans="1:6" ht="11.25" customHeight="1" x14ac:dyDescent="0.2">
      <c r="A287" s="84" t="s">
        <v>12</v>
      </c>
      <c r="B287" s="85"/>
      <c r="C287" s="85"/>
      <c r="D287" s="85"/>
      <c r="E287" s="85"/>
      <c r="F287" s="17"/>
    </row>
    <row r="288" spans="1:6" ht="22.5" customHeight="1" x14ac:dyDescent="0.2">
      <c r="A288" s="86" t="s">
        <v>316</v>
      </c>
      <c r="B288" s="87"/>
      <c r="C288" s="87"/>
      <c r="D288" s="88"/>
      <c r="E288" s="31"/>
      <c r="F288" s="27">
        <f>SUM(E290:E345)</f>
        <v>0</v>
      </c>
    </row>
    <row r="289" spans="1:6" ht="15.75" customHeight="1" collapsed="1" x14ac:dyDescent="0.2">
      <c r="A289" s="93" t="s">
        <v>317</v>
      </c>
      <c r="B289" s="94"/>
      <c r="C289" s="94"/>
      <c r="D289" s="94"/>
      <c r="E289" s="39"/>
      <c r="F289" s="32"/>
    </row>
    <row r="290" spans="1:6" ht="22.5" hidden="1" customHeight="1" outlineLevel="1" x14ac:dyDescent="0.25">
      <c r="A290" s="33" t="s">
        <v>318</v>
      </c>
      <c r="B290" s="79">
        <v>1000</v>
      </c>
      <c r="C290" s="79" t="s">
        <v>15</v>
      </c>
      <c r="D290" s="83"/>
      <c r="E290" s="81">
        <f>B290*D290</f>
        <v>0</v>
      </c>
      <c r="F290" s="32"/>
    </row>
    <row r="291" spans="1:6" ht="15.75" hidden="1" customHeight="1" outlineLevel="1" x14ac:dyDescent="0.2">
      <c r="A291" s="35" t="s">
        <v>319</v>
      </c>
      <c r="B291" s="80"/>
      <c r="C291" s="80"/>
      <c r="D291" s="80"/>
      <c r="E291" s="82"/>
      <c r="F291" s="32"/>
    </row>
    <row r="292" spans="1:6" ht="22.5" hidden="1" customHeight="1" outlineLevel="1" x14ac:dyDescent="0.25">
      <c r="A292" s="33" t="s">
        <v>320</v>
      </c>
      <c r="B292" s="79">
        <v>1500</v>
      </c>
      <c r="C292" s="79" t="s">
        <v>15</v>
      </c>
      <c r="D292" s="83"/>
      <c r="E292" s="90">
        <f>B292*D292</f>
        <v>0</v>
      </c>
      <c r="F292" s="32"/>
    </row>
    <row r="293" spans="1:6" ht="15.75" hidden="1" customHeight="1" outlineLevel="1" x14ac:dyDescent="0.2">
      <c r="A293" s="35" t="s">
        <v>321</v>
      </c>
      <c r="B293" s="80"/>
      <c r="C293" s="80"/>
      <c r="D293" s="80"/>
      <c r="E293" s="78"/>
      <c r="F293" s="32"/>
    </row>
    <row r="294" spans="1:6" ht="22.5" hidden="1" customHeight="1" outlineLevel="1" x14ac:dyDescent="0.25">
      <c r="A294" s="33" t="s">
        <v>322</v>
      </c>
      <c r="B294" s="79">
        <v>3000</v>
      </c>
      <c r="C294" s="79" t="s">
        <v>15</v>
      </c>
      <c r="D294" s="83"/>
      <c r="E294" s="90">
        <f>B294*D294</f>
        <v>0</v>
      </c>
      <c r="F294" s="32"/>
    </row>
    <row r="295" spans="1:6" ht="15.75" hidden="1" customHeight="1" outlineLevel="1" x14ac:dyDescent="0.2">
      <c r="A295" s="35" t="s">
        <v>323</v>
      </c>
      <c r="B295" s="80"/>
      <c r="C295" s="80"/>
      <c r="D295" s="80"/>
      <c r="E295" s="78"/>
      <c r="F295" s="32"/>
    </row>
    <row r="296" spans="1:6" ht="22.5" hidden="1" customHeight="1" outlineLevel="1" x14ac:dyDescent="0.25">
      <c r="A296" s="33" t="s">
        <v>324</v>
      </c>
      <c r="B296" s="79">
        <v>200</v>
      </c>
      <c r="C296" s="79" t="s">
        <v>15</v>
      </c>
      <c r="D296" s="83"/>
      <c r="E296" s="90">
        <f>B296*D296</f>
        <v>0</v>
      </c>
      <c r="F296" s="92" t="s">
        <v>325</v>
      </c>
    </row>
    <row r="297" spans="1:6" ht="15.75" hidden="1" customHeight="1" outlineLevel="1" x14ac:dyDescent="0.2">
      <c r="A297" s="35" t="s">
        <v>326</v>
      </c>
      <c r="B297" s="80"/>
      <c r="C297" s="80"/>
      <c r="D297" s="80"/>
      <c r="E297" s="78"/>
      <c r="F297" s="78"/>
    </row>
    <row r="298" spans="1:6" ht="22.5" hidden="1" customHeight="1" outlineLevel="1" x14ac:dyDescent="0.25">
      <c r="A298" s="33" t="s">
        <v>327</v>
      </c>
      <c r="B298" s="79">
        <v>300</v>
      </c>
      <c r="C298" s="79" t="s">
        <v>15</v>
      </c>
      <c r="D298" s="83"/>
      <c r="E298" s="90">
        <f>B298*D298</f>
        <v>0</v>
      </c>
      <c r="F298" s="92" t="s">
        <v>325</v>
      </c>
    </row>
    <row r="299" spans="1:6" ht="15.75" hidden="1" customHeight="1" outlineLevel="1" x14ac:dyDescent="0.2">
      <c r="A299" s="35" t="s">
        <v>328</v>
      </c>
      <c r="B299" s="80"/>
      <c r="C299" s="80"/>
      <c r="D299" s="80"/>
      <c r="E299" s="78"/>
      <c r="F299" s="78"/>
    </row>
    <row r="300" spans="1:6" ht="22.5" hidden="1" customHeight="1" outlineLevel="1" x14ac:dyDescent="0.25">
      <c r="A300" s="33" t="s">
        <v>329</v>
      </c>
      <c r="B300" s="79">
        <v>90</v>
      </c>
      <c r="C300" s="79" t="s">
        <v>15</v>
      </c>
      <c r="D300" s="83"/>
      <c r="E300" s="90">
        <f>B300*D300</f>
        <v>0</v>
      </c>
      <c r="F300" s="91" t="s">
        <v>330</v>
      </c>
    </row>
    <row r="301" spans="1:6" ht="15.75" hidden="1" customHeight="1" outlineLevel="1" x14ac:dyDescent="0.2">
      <c r="A301" s="35" t="s">
        <v>331</v>
      </c>
      <c r="B301" s="80"/>
      <c r="C301" s="80"/>
      <c r="D301" s="80"/>
      <c r="E301" s="78"/>
      <c r="F301" s="78"/>
    </row>
    <row r="302" spans="1:6" ht="22.5" hidden="1" customHeight="1" outlineLevel="1" x14ac:dyDescent="0.25">
      <c r="A302" s="33" t="s">
        <v>332</v>
      </c>
      <c r="B302" s="79">
        <v>55</v>
      </c>
      <c r="C302" s="79" t="s">
        <v>15</v>
      </c>
      <c r="D302" s="83"/>
      <c r="E302" s="90">
        <f>B302*D302</f>
        <v>0</v>
      </c>
      <c r="F302" s="91" t="s">
        <v>333</v>
      </c>
    </row>
    <row r="303" spans="1:6" ht="15.75" hidden="1" customHeight="1" outlineLevel="1" x14ac:dyDescent="0.2">
      <c r="A303" s="35" t="s">
        <v>334</v>
      </c>
      <c r="B303" s="80"/>
      <c r="C303" s="80"/>
      <c r="D303" s="80"/>
      <c r="E303" s="78"/>
      <c r="F303" s="78"/>
    </row>
    <row r="304" spans="1:6" ht="22.5" hidden="1" customHeight="1" outlineLevel="2" x14ac:dyDescent="0.25">
      <c r="A304" s="33" t="s">
        <v>335</v>
      </c>
      <c r="B304" s="79">
        <v>115</v>
      </c>
      <c r="C304" s="79" t="s">
        <v>15</v>
      </c>
      <c r="D304" s="83"/>
      <c r="E304" s="90">
        <f>B304*D304</f>
        <v>0</v>
      </c>
      <c r="F304" s="32"/>
    </row>
    <row r="305" spans="1:6" ht="15.75" hidden="1" customHeight="1" outlineLevel="2" x14ac:dyDescent="0.2">
      <c r="A305" s="35" t="s">
        <v>336</v>
      </c>
      <c r="B305" s="80"/>
      <c r="C305" s="80"/>
      <c r="D305" s="80"/>
      <c r="E305" s="78"/>
      <c r="F305" s="32"/>
    </row>
    <row r="306" spans="1:6" ht="22.5" hidden="1" customHeight="1" outlineLevel="2" x14ac:dyDescent="0.25">
      <c r="A306" s="33" t="s">
        <v>337</v>
      </c>
      <c r="B306" s="79">
        <v>50</v>
      </c>
      <c r="C306" s="79" t="s">
        <v>15</v>
      </c>
      <c r="D306" s="83"/>
      <c r="E306" s="90">
        <f>B306*D306</f>
        <v>0</v>
      </c>
      <c r="F306" s="32"/>
    </row>
    <row r="307" spans="1:6" ht="15.75" hidden="1" customHeight="1" outlineLevel="2" x14ac:dyDescent="0.2">
      <c r="A307" s="35" t="s">
        <v>338</v>
      </c>
      <c r="B307" s="80"/>
      <c r="C307" s="80"/>
      <c r="D307" s="80"/>
      <c r="E307" s="78"/>
      <c r="F307" s="32"/>
    </row>
    <row r="308" spans="1:6" ht="22.5" hidden="1" customHeight="1" outlineLevel="2" x14ac:dyDescent="0.25">
      <c r="A308" s="33" t="s">
        <v>339</v>
      </c>
      <c r="B308" s="79">
        <v>50</v>
      </c>
      <c r="C308" s="79" t="s">
        <v>15</v>
      </c>
      <c r="D308" s="83"/>
      <c r="E308" s="90">
        <f>B308*D308</f>
        <v>0</v>
      </c>
      <c r="F308" s="32"/>
    </row>
    <row r="309" spans="1:6" ht="15.75" hidden="1" customHeight="1" outlineLevel="2" x14ac:dyDescent="0.2">
      <c r="A309" s="35" t="s">
        <v>340</v>
      </c>
      <c r="B309" s="80"/>
      <c r="C309" s="80"/>
      <c r="D309" s="80"/>
      <c r="E309" s="78"/>
      <c r="F309" s="32"/>
    </row>
    <row r="310" spans="1:6" ht="22.5" hidden="1" customHeight="1" outlineLevel="2" x14ac:dyDescent="0.25">
      <c r="A310" s="33" t="s">
        <v>341</v>
      </c>
      <c r="B310" s="79">
        <v>55</v>
      </c>
      <c r="C310" s="79" t="s">
        <v>15</v>
      </c>
      <c r="D310" s="83"/>
      <c r="E310" s="90">
        <f>B310*D310</f>
        <v>0</v>
      </c>
      <c r="F310" s="32"/>
    </row>
    <row r="311" spans="1:6" ht="15.75" hidden="1" customHeight="1" outlineLevel="2" x14ac:dyDescent="0.2">
      <c r="A311" s="35" t="s">
        <v>342</v>
      </c>
      <c r="B311" s="80"/>
      <c r="C311" s="80"/>
      <c r="D311" s="80"/>
      <c r="E311" s="78"/>
      <c r="F311" s="32"/>
    </row>
    <row r="312" spans="1:6" ht="22.5" hidden="1" customHeight="1" outlineLevel="2" x14ac:dyDescent="0.25">
      <c r="A312" s="33" t="s">
        <v>343</v>
      </c>
      <c r="B312" s="79">
        <v>50</v>
      </c>
      <c r="C312" s="79" t="s">
        <v>15</v>
      </c>
      <c r="D312" s="83"/>
      <c r="E312" s="90">
        <f>B312*D312</f>
        <v>0</v>
      </c>
      <c r="F312" s="32"/>
    </row>
    <row r="313" spans="1:6" ht="15.75" hidden="1" customHeight="1" outlineLevel="2" x14ac:dyDescent="0.2">
      <c r="A313" s="35" t="s">
        <v>344</v>
      </c>
      <c r="B313" s="80"/>
      <c r="C313" s="80"/>
      <c r="D313" s="80"/>
      <c r="E313" s="78"/>
      <c r="F313" s="32"/>
    </row>
    <row r="314" spans="1:6" ht="22.5" hidden="1" customHeight="1" outlineLevel="1" x14ac:dyDescent="0.25">
      <c r="A314" s="33" t="s">
        <v>345</v>
      </c>
      <c r="B314" s="79">
        <v>55</v>
      </c>
      <c r="C314" s="79" t="s">
        <v>15</v>
      </c>
      <c r="D314" s="83"/>
      <c r="E314" s="90">
        <f>B314*D314</f>
        <v>0</v>
      </c>
      <c r="F314" s="91" t="s">
        <v>346</v>
      </c>
    </row>
    <row r="315" spans="1:6" ht="15.75" hidden="1" customHeight="1" outlineLevel="1" x14ac:dyDescent="0.2">
      <c r="A315" s="35" t="s">
        <v>347</v>
      </c>
      <c r="B315" s="80"/>
      <c r="C315" s="80"/>
      <c r="D315" s="80"/>
      <c r="E315" s="78"/>
      <c r="F315" s="78"/>
    </row>
    <row r="316" spans="1:6" ht="22.5" hidden="1" customHeight="1" outlineLevel="1" x14ac:dyDescent="0.25">
      <c r="A316" s="33" t="s">
        <v>348</v>
      </c>
      <c r="B316" s="79">
        <v>85</v>
      </c>
      <c r="C316" s="79" t="s">
        <v>15</v>
      </c>
      <c r="D316" s="83"/>
      <c r="E316" s="90">
        <f>B316*D316</f>
        <v>0</v>
      </c>
      <c r="F316" s="76" t="s">
        <v>349</v>
      </c>
    </row>
    <row r="317" spans="1:6" ht="15.75" hidden="1" customHeight="1" outlineLevel="1" x14ac:dyDescent="0.2">
      <c r="A317" s="35" t="s">
        <v>350</v>
      </c>
      <c r="B317" s="80"/>
      <c r="C317" s="80"/>
      <c r="D317" s="80"/>
      <c r="E317" s="78"/>
      <c r="F317" s="78"/>
    </row>
    <row r="318" spans="1:6" ht="22.5" hidden="1" customHeight="1" outlineLevel="2" x14ac:dyDescent="0.25">
      <c r="A318" s="33" t="s">
        <v>351</v>
      </c>
      <c r="B318" s="79">
        <v>115</v>
      </c>
      <c r="C318" s="79" t="s">
        <v>15</v>
      </c>
      <c r="D318" s="83"/>
      <c r="E318" s="90">
        <f>B318*D318</f>
        <v>0</v>
      </c>
      <c r="F318" s="32"/>
    </row>
    <row r="319" spans="1:6" ht="15.75" hidden="1" customHeight="1" outlineLevel="2" x14ac:dyDescent="0.2">
      <c r="A319" s="35" t="s">
        <v>352</v>
      </c>
      <c r="B319" s="80"/>
      <c r="C319" s="80"/>
      <c r="D319" s="80"/>
      <c r="E319" s="78"/>
      <c r="F319" s="32"/>
    </row>
    <row r="320" spans="1:6" ht="22.5" hidden="1" customHeight="1" outlineLevel="2" x14ac:dyDescent="0.25">
      <c r="A320" s="33" t="s">
        <v>353</v>
      </c>
      <c r="B320" s="79">
        <v>50</v>
      </c>
      <c r="C320" s="79" t="s">
        <v>15</v>
      </c>
      <c r="D320" s="83"/>
      <c r="E320" s="90">
        <f>B320*D320</f>
        <v>0</v>
      </c>
      <c r="F320" s="32"/>
    </row>
    <row r="321" spans="1:6" ht="15.75" hidden="1" customHeight="1" outlineLevel="2" x14ac:dyDescent="0.2">
      <c r="A321" s="35" t="s">
        <v>354</v>
      </c>
      <c r="B321" s="80"/>
      <c r="C321" s="80"/>
      <c r="D321" s="80"/>
      <c r="E321" s="78"/>
      <c r="F321" s="32"/>
    </row>
    <row r="322" spans="1:6" ht="22.5" hidden="1" customHeight="1" outlineLevel="2" x14ac:dyDescent="0.25">
      <c r="A322" s="33" t="s">
        <v>355</v>
      </c>
      <c r="B322" s="79">
        <v>55</v>
      </c>
      <c r="C322" s="79" t="s">
        <v>15</v>
      </c>
      <c r="D322" s="83"/>
      <c r="E322" s="90">
        <f>B322*D322</f>
        <v>0</v>
      </c>
      <c r="F322" s="32"/>
    </row>
    <row r="323" spans="1:6" ht="15.75" hidden="1" customHeight="1" outlineLevel="2" x14ac:dyDescent="0.2">
      <c r="A323" s="35" t="s">
        <v>356</v>
      </c>
      <c r="B323" s="80"/>
      <c r="C323" s="80"/>
      <c r="D323" s="80"/>
      <c r="E323" s="78"/>
      <c r="F323" s="32"/>
    </row>
    <row r="324" spans="1:6" ht="22.5" hidden="1" customHeight="1" outlineLevel="2" x14ac:dyDescent="0.25">
      <c r="A324" s="33" t="s">
        <v>357</v>
      </c>
      <c r="B324" s="79">
        <v>50</v>
      </c>
      <c r="C324" s="79" t="s">
        <v>15</v>
      </c>
      <c r="D324" s="83"/>
      <c r="E324" s="90">
        <f>B324*D324</f>
        <v>0</v>
      </c>
      <c r="F324" s="32"/>
    </row>
    <row r="325" spans="1:6" ht="15.75" hidden="1" customHeight="1" outlineLevel="2" x14ac:dyDescent="0.2">
      <c r="A325" s="35" t="s">
        <v>358</v>
      </c>
      <c r="B325" s="80"/>
      <c r="C325" s="80"/>
      <c r="D325" s="80"/>
      <c r="E325" s="78"/>
      <c r="F325" s="32"/>
    </row>
    <row r="326" spans="1:6" ht="22.5" hidden="1" customHeight="1" outlineLevel="1" x14ac:dyDescent="0.25">
      <c r="A326" s="33" t="s">
        <v>359</v>
      </c>
      <c r="B326" s="79">
        <v>180</v>
      </c>
      <c r="C326" s="79" t="s">
        <v>15</v>
      </c>
      <c r="D326" s="83"/>
      <c r="E326" s="90">
        <f>B326*D326</f>
        <v>0</v>
      </c>
      <c r="F326" s="32"/>
    </row>
    <row r="327" spans="1:6" ht="15.75" hidden="1" customHeight="1" outlineLevel="1" x14ac:dyDescent="0.2">
      <c r="A327" s="35" t="s">
        <v>360</v>
      </c>
      <c r="B327" s="80"/>
      <c r="C327" s="80"/>
      <c r="D327" s="80"/>
      <c r="E327" s="78"/>
      <c r="F327" s="32"/>
    </row>
    <row r="328" spans="1:6" ht="22.5" hidden="1" customHeight="1" outlineLevel="1" x14ac:dyDescent="0.25">
      <c r="A328" s="33" t="s">
        <v>361</v>
      </c>
      <c r="B328" s="79">
        <v>180</v>
      </c>
      <c r="C328" s="79" t="s">
        <v>15</v>
      </c>
      <c r="D328" s="83"/>
      <c r="E328" s="90">
        <f>B328*D328</f>
        <v>0</v>
      </c>
      <c r="F328" s="32"/>
    </row>
    <row r="329" spans="1:6" ht="15.75" hidden="1" customHeight="1" outlineLevel="1" x14ac:dyDescent="0.2">
      <c r="A329" s="35" t="s">
        <v>362</v>
      </c>
      <c r="B329" s="80"/>
      <c r="C329" s="80"/>
      <c r="D329" s="80"/>
      <c r="E329" s="78"/>
      <c r="F329" s="32"/>
    </row>
    <row r="330" spans="1:6" ht="22.5" hidden="1" customHeight="1" outlineLevel="2" x14ac:dyDescent="0.25">
      <c r="A330" s="33" t="s">
        <v>363</v>
      </c>
      <c r="B330" s="79">
        <v>190</v>
      </c>
      <c r="C330" s="79" t="s">
        <v>15</v>
      </c>
      <c r="D330" s="83"/>
      <c r="E330" s="90">
        <f>B330*D330</f>
        <v>0</v>
      </c>
      <c r="F330" s="32"/>
    </row>
    <row r="331" spans="1:6" ht="15.75" hidden="1" customHeight="1" outlineLevel="2" x14ac:dyDescent="0.2">
      <c r="A331" s="35" t="s">
        <v>364</v>
      </c>
      <c r="B331" s="80"/>
      <c r="C331" s="80"/>
      <c r="D331" s="80"/>
      <c r="E331" s="78"/>
      <c r="F331" s="32"/>
    </row>
    <row r="332" spans="1:6" ht="22.5" hidden="1" customHeight="1" outlineLevel="1" x14ac:dyDescent="0.25">
      <c r="A332" s="33" t="s">
        <v>365</v>
      </c>
      <c r="B332" s="79">
        <v>130</v>
      </c>
      <c r="C332" s="79" t="s">
        <v>15</v>
      </c>
      <c r="D332" s="83"/>
      <c r="E332" s="90">
        <f>B332*D332</f>
        <v>0</v>
      </c>
      <c r="F332" s="32"/>
    </row>
    <row r="333" spans="1:6" ht="36" hidden="1" customHeight="1" outlineLevel="1" x14ac:dyDescent="0.2">
      <c r="A333" s="35" t="s">
        <v>366</v>
      </c>
      <c r="B333" s="80"/>
      <c r="C333" s="80"/>
      <c r="D333" s="80"/>
      <c r="E333" s="78"/>
      <c r="F333" s="32"/>
    </row>
    <row r="334" spans="1:6" ht="22.5" hidden="1" customHeight="1" outlineLevel="2" x14ac:dyDescent="0.25">
      <c r="A334" s="33" t="s">
        <v>367</v>
      </c>
      <c r="B334" s="79">
        <v>100</v>
      </c>
      <c r="C334" s="79" t="s">
        <v>15</v>
      </c>
      <c r="D334" s="83"/>
      <c r="E334" s="90">
        <f>B334*D334</f>
        <v>0</v>
      </c>
      <c r="F334" s="32"/>
    </row>
    <row r="335" spans="1:6" ht="15.75" hidden="1" customHeight="1" outlineLevel="2" x14ac:dyDescent="0.2">
      <c r="A335" s="35" t="s">
        <v>368</v>
      </c>
      <c r="B335" s="80"/>
      <c r="C335" s="80"/>
      <c r="D335" s="80"/>
      <c r="E335" s="78"/>
      <c r="F335" s="32"/>
    </row>
    <row r="336" spans="1:6" ht="22.5" hidden="1" customHeight="1" outlineLevel="2" x14ac:dyDescent="0.25">
      <c r="A336" s="33" t="s">
        <v>369</v>
      </c>
      <c r="B336" s="79">
        <v>75</v>
      </c>
      <c r="C336" s="79" t="s">
        <v>15</v>
      </c>
      <c r="D336" s="83"/>
      <c r="E336" s="90">
        <f>B336*D336</f>
        <v>0</v>
      </c>
      <c r="F336" s="32"/>
    </row>
    <row r="337" spans="1:6" ht="15.75" hidden="1" customHeight="1" outlineLevel="2" x14ac:dyDescent="0.2">
      <c r="A337" s="35" t="s">
        <v>370</v>
      </c>
      <c r="B337" s="80"/>
      <c r="C337" s="80"/>
      <c r="D337" s="80"/>
      <c r="E337" s="78"/>
      <c r="F337" s="32"/>
    </row>
    <row r="338" spans="1:6" ht="22.5" hidden="1" customHeight="1" outlineLevel="2" x14ac:dyDescent="0.25">
      <c r="A338" s="33" t="s">
        <v>371</v>
      </c>
      <c r="B338" s="79">
        <v>45</v>
      </c>
      <c r="C338" s="79" t="s">
        <v>15</v>
      </c>
      <c r="D338" s="83"/>
      <c r="E338" s="90">
        <f>B338*D338</f>
        <v>0</v>
      </c>
      <c r="F338" s="32"/>
    </row>
    <row r="339" spans="1:6" ht="15.75" hidden="1" customHeight="1" outlineLevel="2" x14ac:dyDescent="0.2">
      <c r="A339" s="35" t="s">
        <v>372</v>
      </c>
      <c r="B339" s="80"/>
      <c r="C339" s="80"/>
      <c r="D339" s="80"/>
      <c r="E339" s="78"/>
      <c r="F339" s="32"/>
    </row>
    <row r="340" spans="1:6" ht="22.5" hidden="1" customHeight="1" outlineLevel="2" x14ac:dyDescent="0.25">
      <c r="A340" s="33" t="s">
        <v>373</v>
      </c>
      <c r="B340" s="79">
        <v>65</v>
      </c>
      <c r="C340" s="79" t="s">
        <v>15</v>
      </c>
      <c r="D340" s="83"/>
      <c r="E340" s="90">
        <f>B340*D340</f>
        <v>0</v>
      </c>
      <c r="F340" s="32"/>
    </row>
    <row r="341" spans="1:6" ht="15.75" hidden="1" customHeight="1" outlineLevel="2" x14ac:dyDescent="0.2">
      <c r="A341" s="35" t="s">
        <v>374</v>
      </c>
      <c r="B341" s="80"/>
      <c r="C341" s="80"/>
      <c r="D341" s="80"/>
      <c r="E341" s="78"/>
      <c r="F341" s="32"/>
    </row>
    <row r="342" spans="1:6" ht="22.5" hidden="1" customHeight="1" outlineLevel="1" x14ac:dyDescent="0.25">
      <c r="A342" s="33" t="s">
        <v>375</v>
      </c>
      <c r="B342" s="79">
        <v>180</v>
      </c>
      <c r="C342" s="79" t="s">
        <v>15</v>
      </c>
      <c r="D342" s="83"/>
      <c r="E342" s="90">
        <f>B342*D342</f>
        <v>0</v>
      </c>
      <c r="F342" s="32"/>
    </row>
    <row r="343" spans="1:6" ht="15.75" hidden="1" customHeight="1" outlineLevel="1" x14ac:dyDescent="0.2">
      <c r="A343" s="35" t="s">
        <v>376</v>
      </c>
      <c r="B343" s="80"/>
      <c r="C343" s="80"/>
      <c r="D343" s="80"/>
      <c r="E343" s="78"/>
      <c r="F343" s="32"/>
    </row>
    <row r="344" spans="1:6" ht="22.5" hidden="1" customHeight="1" outlineLevel="2" x14ac:dyDescent="0.25">
      <c r="A344" s="33" t="s">
        <v>377</v>
      </c>
      <c r="B344" s="79">
        <v>200</v>
      </c>
      <c r="C344" s="79" t="s">
        <v>15</v>
      </c>
      <c r="D344" s="83"/>
      <c r="E344" s="90">
        <f>B344*D344</f>
        <v>0</v>
      </c>
      <c r="F344" s="32"/>
    </row>
    <row r="345" spans="1:6" ht="15.75" hidden="1" customHeight="1" outlineLevel="2" x14ac:dyDescent="0.2">
      <c r="A345" s="35" t="s">
        <v>378</v>
      </c>
      <c r="B345" s="80"/>
      <c r="C345" s="80"/>
      <c r="D345" s="80"/>
      <c r="E345" s="78"/>
      <c r="F345" s="32"/>
    </row>
    <row r="346" spans="1:6" ht="11.25" customHeight="1" x14ac:dyDescent="0.2">
      <c r="A346" s="84" t="s">
        <v>12</v>
      </c>
      <c r="B346" s="85"/>
      <c r="C346" s="85"/>
      <c r="D346" s="85"/>
      <c r="E346" s="85"/>
      <c r="F346" s="17"/>
    </row>
    <row r="347" spans="1:6" ht="22.5" customHeight="1" collapsed="1" x14ac:dyDescent="0.2">
      <c r="A347" s="86" t="s">
        <v>379</v>
      </c>
      <c r="B347" s="87"/>
      <c r="C347" s="87"/>
      <c r="D347" s="88"/>
      <c r="E347" s="36"/>
      <c r="F347" s="37">
        <f>SUM(E348:E383)</f>
        <v>0</v>
      </c>
    </row>
    <row r="348" spans="1:6" ht="22.5" hidden="1" customHeight="1" outlineLevel="1" x14ac:dyDescent="0.25">
      <c r="A348" s="33" t="s">
        <v>380</v>
      </c>
      <c r="B348" s="79">
        <v>500</v>
      </c>
      <c r="C348" s="79" t="s">
        <v>15</v>
      </c>
      <c r="D348" s="83"/>
      <c r="E348" s="81">
        <f>B348*D348</f>
        <v>0</v>
      </c>
      <c r="F348" s="32"/>
    </row>
    <row r="349" spans="1:6" ht="15.75" hidden="1" customHeight="1" outlineLevel="1" x14ac:dyDescent="0.2">
      <c r="A349" s="35" t="s">
        <v>381</v>
      </c>
      <c r="B349" s="80"/>
      <c r="C349" s="80"/>
      <c r="D349" s="80"/>
      <c r="E349" s="82"/>
      <c r="F349" s="32"/>
    </row>
    <row r="350" spans="1:6" ht="22.5" hidden="1" customHeight="1" outlineLevel="1" x14ac:dyDescent="0.25">
      <c r="A350" s="33" t="s">
        <v>382</v>
      </c>
      <c r="B350" s="79">
        <v>1500</v>
      </c>
      <c r="C350" s="79" t="s">
        <v>15</v>
      </c>
      <c r="D350" s="83">
        <f>D348</f>
        <v>0</v>
      </c>
      <c r="E350" s="90">
        <f>B350*D350</f>
        <v>0</v>
      </c>
      <c r="F350" s="32"/>
    </row>
    <row r="351" spans="1:6" ht="15.75" hidden="1" customHeight="1" outlineLevel="1" x14ac:dyDescent="0.2">
      <c r="A351" s="35" t="s">
        <v>383</v>
      </c>
      <c r="B351" s="80"/>
      <c r="C351" s="80"/>
      <c r="D351" s="80"/>
      <c r="E351" s="78"/>
      <c r="F351" s="32"/>
    </row>
    <row r="352" spans="1:6" ht="22.5" hidden="1" customHeight="1" outlineLevel="1" x14ac:dyDescent="0.25">
      <c r="A352" s="33" t="s">
        <v>384</v>
      </c>
      <c r="B352" s="79">
        <v>660</v>
      </c>
      <c r="C352" s="79" t="s">
        <v>15</v>
      </c>
      <c r="D352" s="83"/>
      <c r="E352" s="90">
        <f>B352*D352</f>
        <v>0</v>
      </c>
      <c r="F352" s="32"/>
    </row>
    <row r="353" spans="1:6" ht="15.75" hidden="1" customHeight="1" outlineLevel="1" x14ac:dyDescent="0.2">
      <c r="A353" s="35" t="s">
        <v>385</v>
      </c>
      <c r="B353" s="80"/>
      <c r="C353" s="80"/>
      <c r="D353" s="80"/>
      <c r="E353" s="78"/>
      <c r="F353" s="32"/>
    </row>
    <row r="354" spans="1:6" ht="22.5" hidden="1" customHeight="1" outlineLevel="1" x14ac:dyDescent="0.25">
      <c r="A354" s="33" t="s">
        <v>386</v>
      </c>
      <c r="B354" s="79">
        <v>710</v>
      </c>
      <c r="C354" s="79" t="s">
        <v>15</v>
      </c>
      <c r="D354" s="83"/>
      <c r="E354" s="90">
        <f>B354*D354</f>
        <v>0</v>
      </c>
      <c r="F354" s="32"/>
    </row>
    <row r="355" spans="1:6" ht="15.75" hidden="1" customHeight="1" outlineLevel="1" x14ac:dyDescent="0.2">
      <c r="A355" s="35" t="s">
        <v>387</v>
      </c>
      <c r="B355" s="80"/>
      <c r="C355" s="80"/>
      <c r="D355" s="80"/>
      <c r="E355" s="78"/>
      <c r="F355" s="32"/>
    </row>
    <row r="356" spans="1:6" ht="22.5" hidden="1" customHeight="1" outlineLevel="2" x14ac:dyDescent="0.25">
      <c r="A356" s="33" t="s">
        <v>388</v>
      </c>
      <c r="B356" s="79">
        <v>250</v>
      </c>
      <c r="C356" s="79" t="s">
        <v>15</v>
      </c>
      <c r="D356" s="83"/>
      <c r="E356" s="90">
        <f>B356*D356</f>
        <v>0</v>
      </c>
      <c r="F356" s="32"/>
    </row>
    <row r="357" spans="1:6" ht="15.75" hidden="1" customHeight="1" outlineLevel="2" x14ac:dyDescent="0.2">
      <c r="A357" s="35" t="s">
        <v>389</v>
      </c>
      <c r="B357" s="80"/>
      <c r="C357" s="80"/>
      <c r="D357" s="80"/>
      <c r="E357" s="78"/>
      <c r="F357" s="32"/>
    </row>
    <row r="358" spans="1:6" ht="22.5" hidden="1" customHeight="1" outlineLevel="2" x14ac:dyDescent="0.25">
      <c r="A358" s="33" t="s">
        <v>390</v>
      </c>
      <c r="B358" s="79">
        <v>300</v>
      </c>
      <c r="C358" s="79" t="s">
        <v>15</v>
      </c>
      <c r="D358" s="83">
        <f>D356</f>
        <v>0</v>
      </c>
      <c r="E358" s="90">
        <f>B358*D358</f>
        <v>0</v>
      </c>
      <c r="F358" s="32"/>
    </row>
    <row r="359" spans="1:6" ht="15.75" hidden="1" customHeight="1" outlineLevel="2" x14ac:dyDescent="0.2">
      <c r="A359" s="35" t="s">
        <v>391</v>
      </c>
      <c r="B359" s="80"/>
      <c r="C359" s="80"/>
      <c r="D359" s="80"/>
      <c r="E359" s="78"/>
      <c r="F359" s="32"/>
    </row>
    <row r="360" spans="1:6" ht="22.5" hidden="1" customHeight="1" outlineLevel="1" x14ac:dyDescent="0.25">
      <c r="A360" s="33" t="s">
        <v>392</v>
      </c>
      <c r="B360" s="79">
        <v>210</v>
      </c>
      <c r="C360" s="79" t="s">
        <v>15</v>
      </c>
      <c r="D360" s="83"/>
      <c r="E360" s="90">
        <f>B360*D360</f>
        <v>0</v>
      </c>
      <c r="F360" s="32"/>
    </row>
    <row r="361" spans="1:6" ht="15.75" hidden="1" customHeight="1" outlineLevel="1" x14ac:dyDescent="0.2">
      <c r="A361" s="35" t="s">
        <v>393</v>
      </c>
      <c r="B361" s="80"/>
      <c r="C361" s="80"/>
      <c r="D361" s="80"/>
      <c r="E361" s="78"/>
      <c r="F361" s="32"/>
    </row>
    <row r="362" spans="1:6" ht="22.5" hidden="1" customHeight="1" outlineLevel="1" x14ac:dyDescent="0.25">
      <c r="A362" s="33" t="s">
        <v>394</v>
      </c>
      <c r="B362" s="79">
        <v>240</v>
      </c>
      <c r="C362" s="79" t="s">
        <v>15</v>
      </c>
      <c r="D362" s="83"/>
      <c r="E362" s="90">
        <f>B362*D362</f>
        <v>0</v>
      </c>
      <c r="F362" s="32"/>
    </row>
    <row r="363" spans="1:6" ht="15.75" hidden="1" customHeight="1" outlineLevel="1" x14ac:dyDescent="0.2">
      <c r="A363" s="35" t="s">
        <v>395</v>
      </c>
      <c r="B363" s="80"/>
      <c r="C363" s="80"/>
      <c r="D363" s="80"/>
      <c r="E363" s="78"/>
      <c r="F363" s="32"/>
    </row>
    <row r="364" spans="1:6" ht="22.5" hidden="1" customHeight="1" outlineLevel="2" x14ac:dyDescent="0.25">
      <c r="A364" s="33" t="s">
        <v>396</v>
      </c>
      <c r="B364" s="79">
        <v>460</v>
      </c>
      <c r="C364" s="79" t="s">
        <v>15</v>
      </c>
      <c r="D364" s="83"/>
      <c r="E364" s="90">
        <f>B364*D364</f>
        <v>0</v>
      </c>
      <c r="F364" s="32"/>
    </row>
    <row r="365" spans="1:6" ht="15.75" hidden="1" customHeight="1" outlineLevel="2" x14ac:dyDescent="0.2">
      <c r="A365" s="35" t="s">
        <v>397</v>
      </c>
      <c r="B365" s="80"/>
      <c r="C365" s="80"/>
      <c r="D365" s="80"/>
      <c r="E365" s="78"/>
      <c r="F365" s="32"/>
    </row>
    <row r="366" spans="1:6" ht="22.5" hidden="1" customHeight="1" outlineLevel="2" x14ac:dyDescent="0.25">
      <c r="A366" s="33" t="s">
        <v>398</v>
      </c>
      <c r="B366" s="79">
        <v>620</v>
      </c>
      <c r="C366" s="79" t="s">
        <v>15</v>
      </c>
      <c r="D366" s="83">
        <f>D364</f>
        <v>0</v>
      </c>
      <c r="E366" s="90">
        <f>B366*D366</f>
        <v>0</v>
      </c>
      <c r="F366" s="32"/>
    </row>
    <row r="367" spans="1:6" ht="15.75" hidden="1" customHeight="1" outlineLevel="2" x14ac:dyDescent="0.2">
      <c r="A367" s="35" t="s">
        <v>399</v>
      </c>
      <c r="B367" s="80"/>
      <c r="C367" s="80"/>
      <c r="D367" s="80"/>
      <c r="E367" s="78"/>
      <c r="F367" s="32"/>
    </row>
    <row r="368" spans="1:6" ht="22.5" hidden="1" customHeight="1" outlineLevel="2" x14ac:dyDescent="0.25">
      <c r="A368" s="33" t="s">
        <v>400</v>
      </c>
      <c r="B368" s="79">
        <v>700</v>
      </c>
      <c r="C368" s="79" t="s">
        <v>15</v>
      </c>
      <c r="D368" s="83"/>
      <c r="E368" s="90">
        <f>B368*D368</f>
        <v>0</v>
      </c>
      <c r="F368" s="32"/>
    </row>
    <row r="369" spans="1:6" ht="15.75" hidden="1" customHeight="1" outlineLevel="2" x14ac:dyDescent="0.2">
      <c r="A369" s="35" t="s">
        <v>401</v>
      </c>
      <c r="B369" s="80"/>
      <c r="C369" s="80"/>
      <c r="D369" s="80"/>
      <c r="E369" s="78"/>
      <c r="F369" s="32"/>
    </row>
    <row r="370" spans="1:6" ht="22.5" hidden="1" customHeight="1" outlineLevel="2" x14ac:dyDescent="0.25">
      <c r="A370" s="33" t="s">
        <v>402</v>
      </c>
      <c r="B370" s="79">
        <v>620</v>
      </c>
      <c r="C370" s="79" t="s">
        <v>15</v>
      </c>
      <c r="D370" s="83">
        <f>D368</f>
        <v>0</v>
      </c>
      <c r="E370" s="90">
        <f>B370*D370</f>
        <v>0</v>
      </c>
      <c r="F370" s="32"/>
    </row>
    <row r="371" spans="1:6" ht="15.75" hidden="1" customHeight="1" outlineLevel="2" x14ac:dyDescent="0.2">
      <c r="A371" s="35" t="s">
        <v>403</v>
      </c>
      <c r="B371" s="80"/>
      <c r="C371" s="80"/>
      <c r="D371" s="80"/>
      <c r="E371" s="78"/>
      <c r="F371" s="32"/>
    </row>
    <row r="372" spans="1:6" ht="22.5" hidden="1" customHeight="1" outlineLevel="2" x14ac:dyDescent="0.25">
      <c r="A372" s="33" t="s">
        <v>404</v>
      </c>
      <c r="B372" s="79">
        <v>660</v>
      </c>
      <c r="C372" s="79" t="s">
        <v>15</v>
      </c>
      <c r="D372" s="83"/>
      <c r="E372" s="90">
        <f>B372*D372</f>
        <v>0</v>
      </c>
      <c r="F372" s="32"/>
    </row>
    <row r="373" spans="1:6" ht="15.75" hidden="1" customHeight="1" outlineLevel="2" x14ac:dyDescent="0.2">
      <c r="A373" s="35" t="s">
        <v>405</v>
      </c>
      <c r="B373" s="80"/>
      <c r="C373" s="80"/>
      <c r="D373" s="80"/>
      <c r="E373" s="78"/>
      <c r="F373" s="32"/>
    </row>
    <row r="374" spans="1:6" ht="22.5" hidden="1" customHeight="1" outlineLevel="2" x14ac:dyDescent="0.25">
      <c r="A374" s="33" t="s">
        <v>406</v>
      </c>
      <c r="B374" s="79">
        <v>660</v>
      </c>
      <c r="C374" s="79" t="s">
        <v>15</v>
      </c>
      <c r="D374" s="83">
        <f>D372</f>
        <v>0</v>
      </c>
      <c r="E374" s="90">
        <f>B374*D374</f>
        <v>0</v>
      </c>
      <c r="F374" s="32"/>
    </row>
    <row r="375" spans="1:6" ht="15.75" hidden="1" customHeight="1" outlineLevel="2" x14ac:dyDescent="0.2">
      <c r="A375" s="35" t="s">
        <v>407</v>
      </c>
      <c r="B375" s="80"/>
      <c r="C375" s="80"/>
      <c r="D375" s="80"/>
      <c r="E375" s="78"/>
      <c r="F375" s="32"/>
    </row>
    <row r="376" spans="1:6" ht="22.5" hidden="1" customHeight="1" outlineLevel="1" x14ac:dyDescent="0.25">
      <c r="A376" s="33" t="s">
        <v>408</v>
      </c>
      <c r="B376" s="79">
        <v>310</v>
      </c>
      <c r="C376" s="79" t="s">
        <v>15</v>
      </c>
      <c r="D376" s="83"/>
      <c r="E376" s="90">
        <f>B376*D376</f>
        <v>0</v>
      </c>
      <c r="F376" s="32"/>
    </row>
    <row r="377" spans="1:6" ht="15.75" hidden="1" customHeight="1" outlineLevel="1" x14ac:dyDescent="0.2">
      <c r="A377" s="35" t="s">
        <v>409</v>
      </c>
      <c r="B377" s="80"/>
      <c r="C377" s="80"/>
      <c r="D377" s="80"/>
      <c r="E377" s="78"/>
      <c r="F377" s="32"/>
    </row>
    <row r="378" spans="1:6" ht="22.5" hidden="1" customHeight="1" outlineLevel="1" x14ac:dyDescent="0.25">
      <c r="A378" s="33" t="s">
        <v>410</v>
      </c>
      <c r="B378" s="79">
        <v>310</v>
      </c>
      <c r="C378" s="79" t="s">
        <v>15</v>
      </c>
      <c r="D378" s="83"/>
      <c r="E378" s="90">
        <f>B378*D378</f>
        <v>0</v>
      </c>
      <c r="F378" s="32"/>
    </row>
    <row r="379" spans="1:6" ht="15.75" hidden="1" customHeight="1" outlineLevel="1" x14ac:dyDescent="0.2">
      <c r="A379" s="35" t="s">
        <v>411</v>
      </c>
      <c r="B379" s="80"/>
      <c r="C379" s="80"/>
      <c r="D379" s="80"/>
      <c r="E379" s="78"/>
      <c r="F379" s="32"/>
    </row>
    <row r="380" spans="1:6" ht="22.5" hidden="1" customHeight="1" outlineLevel="1" x14ac:dyDescent="0.25">
      <c r="A380" s="33" t="s">
        <v>412</v>
      </c>
      <c r="B380" s="79">
        <v>310</v>
      </c>
      <c r="C380" s="79" t="s">
        <v>15</v>
      </c>
      <c r="D380" s="83"/>
      <c r="E380" s="90">
        <f>B380*D380</f>
        <v>0</v>
      </c>
      <c r="F380" s="32"/>
    </row>
    <row r="381" spans="1:6" ht="15.75" hidden="1" customHeight="1" outlineLevel="1" x14ac:dyDescent="0.2">
      <c r="A381" s="35" t="s">
        <v>413</v>
      </c>
      <c r="B381" s="80"/>
      <c r="C381" s="80"/>
      <c r="D381" s="80"/>
      <c r="E381" s="78"/>
      <c r="F381" s="32"/>
    </row>
    <row r="382" spans="1:6" ht="22.5" hidden="1" customHeight="1" outlineLevel="1" x14ac:dyDescent="0.25">
      <c r="A382" s="33" t="s">
        <v>414</v>
      </c>
      <c r="B382" s="79">
        <v>310</v>
      </c>
      <c r="C382" s="79" t="s">
        <v>15</v>
      </c>
      <c r="D382" s="83"/>
      <c r="E382" s="90">
        <f>B382*D382</f>
        <v>0</v>
      </c>
      <c r="F382" s="32"/>
    </row>
    <row r="383" spans="1:6" ht="15.75" hidden="1" customHeight="1" outlineLevel="1" x14ac:dyDescent="0.2">
      <c r="A383" s="35" t="s">
        <v>415</v>
      </c>
      <c r="B383" s="80"/>
      <c r="C383" s="80"/>
      <c r="D383" s="80"/>
      <c r="E383" s="78"/>
      <c r="F383" s="32"/>
    </row>
    <row r="384" spans="1:6" ht="11.25" customHeight="1" x14ac:dyDescent="0.2">
      <c r="A384" s="84" t="s">
        <v>12</v>
      </c>
      <c r="B384" s="85"/>
      <c r="C384" s="85"/>
      <c r="D384" s="85"/>
      <c r="E384" s="85"/>
      <c r="F384" s="17"/>
    </row>
    <row r="385" spans="1:6" ht="22.5" customHeight="1" collapsed="1" x14ac:dyDescent="0.2">
      <c r="A385" s="86" t="s">
        <v>416</v>
      </c>
      <c r="B385" s="87"/>
      <c r="C385" s="87"/>
      <c r="D385" s="88"/>
      <c r="E385" s="36"/>
      <c r="F385" s="37">
        <f>SUM(E386:E411)</f>
        <v>0</v>
      </c>
    </row>
    <row r="386" spans="1:6" ht="22.5" hidden="1" customHeight="1" outlineLevel="2" x14ac:dyDescent="0.25">
      <c r="A386" s="33" t="s">
        <v>417</v>
      </c>
      <c r="B386" s="79">
        <v>900</v>
      </c>
      <c r="C386" s="79" t="s">
        <v>15</v>
      </c>
      <c r="D386" s="83"/>
      <c r="E386" s="81">
        <f>B386*D386</f>
        <v>0</v>
      </c>
      <c r="F386" s="32"/>
    </row>
    <row r="387" spans="1:6" ht="15.75" hidden="1" customHeight="1" outlineLevel="2" x14ac:dyDescent="0.2">
      <c r="A387" s="35" t="s">
        <v>418</v>
      </c>
      <c r="B387" s="80"/>
      <c r="C387" s="80"/>
      <c r="D387" s="80"/>
      <c r="E387" s="82"/>
      <c r="F387" s="32"/>
    </row>
    <row r="388" spans="1:6" ht="22.5" hidden="1" customHeight="1" outlineLevel="2" x14ac:dyDescent="0.25">
      <c r="A388" s="33" t="s">
        <v>419</v>
      </c>
      <c r="B388" s="79">
        <v>1100</v>
      </c>
      <c r="C388" s="79" t="s">
        <v>15</v>
      </c>
      <c r="D388" s="83"/>
      <c r="E388" s="81">
        <f>B388*D388</f>
        <v>0</v>
      </c>
      <c r="F388" s="32"/>
    </row>
    <row r="389" spans="1:6" ht="15.75" hidden="1" customHeight="1" outlineLevel="2" x14ac:dyDescent="0.2">
      <c r="A389" s="35" t="s">
        <v>420</v>
      </c>
      <c r="B389" s="80"/>
      <c r="C389" s="80"/>
      <c r="D389" s="80"/>
      <c r="E389" s="82"/>
      <c r="F389" s="32"/>
    </row>
    <row r="390" spans="1:6" ht="22.5" hidden="1" customHeight="1" outlineLevel="1" x14ac:dyDescent="0.25">
      <c r="A390" s="33" t="s">
        <v>421</v>
      </c>
      <c r="B390" s="79">
        <v>200</v>
      </c>
      <c r="C390" s="79" t="s">
        <v>15</v>
      </c>
      <c r="D390" s="83"/>
      <c r="E390" s="81">
        <f>B390*D390</f>
        <v>0</v>
      </c>
      <c r="F390" s="32"/>
    </row>
    <row r="391" spans="1:6" ht="15.75" hidden="1" customHeight="1" outlineLevel="1" x14ac:dyDescent="0.2">
      <c r="A391" s="35" t="s">
        <v>422</v>
      </c>
      <c r="B391" s="80"/>
      <c r="C391" s="80"/>
      <c r="D391" s="80"/>
      <c r="E391" s="82"/>
      <c r="F391" s="32"/>
    </row>
    <row r="392" spans="1:6" ht="22.5" hidden="1" customHeight="1" outlineLevel="1" x14ac:dyDescent="0.25">
      <c r="A392" s="33" t="s">
        <v>423</v>
      </c>
      <c r="B392" s="79">
        <v>250</v>
      </c>
      <c r="C392" s="79" t="s">
        <v>15</v>
      </c>
      <c r="D392" s="83"/>
      <c r="E392" s="81">
        <f>B392*D392</f>
        <v>0</v>
      </c>
      <c r="F392" s="32"/>
    </row>
    <row r="393" spans="1:6" ht="15.75" hidden="1" customHeight="1" outlineLevel="1" x14ac:dyDescent="0.2">
      <c r="A393" s="35" t="s">
        <v>424</v>
      </c>
      <c r="B393" s="80"/>
      <c r="C393" s="80"/>
      <c r="D393" s="80"/>
      <c r="E393" s="82"/>
      <c r="F393" s="32"/>
    </row>
    <row r="394" spans="1:6" ht="22.5" hidden="1" customHeight="1" outlineLevel="1" x14ac:dyDescent="0.25">
      <c r="A394" s="33" t="s">
        <v>425</v>
      </c>
      <c r="B394" s="79">
        <v>500</v>
      </c>
      <c r="C394" s="79" t="s">
        <v>15</v>
      </c>
      <c r="D394" s="83"/>
      <c r="E394" s="81">
        <f>B394*D394</f>
        <v>0</v>
      </c>
      <c r="F394" s="32"/>
    </row>
    <row r="395" spans="1:6" ht="15.75" hidden="1" customHeight="1" outlineLevel="1" x14ac:dyDescent="0.2">
      <c r="A395" s="35" t="s">
        <v>426</v>
      </c>
      <c r="B395" s="80"/>
      <c r="C395" s="80"/>
      <c r="D395" s="80"/>
      <c r="E395" s="82"/>
      <c r="F395" s="32"/>
    </row>
    <row r="396" spans="1:6" ht="22.5" hidden="1" customHeight="1" outlineLevel="2" x14ac:dyDescent="0.25">
      <c r="A396" s="33" t="s">
        <v>427</v>
      </c>
      <c r="B396" s="79">
        <v>300</v>
      </c>
      <c r="C396" s="79" t="s">
        <v>15</v>
      </c>
      <c r="D396" s="83"/>
      <c r="E396" s="81">
        <f>B396*D396</f>
        <v>0</v>
      </c>
      <c r="F396" s="32"/>
    </row>
    <row r="397" spans="1:6" ht="15.75" hidden="1" customHeight="1" outlineLevel="2" x14ac:dyDescent="0.2">
      <c r="A397" s="35" t="s">
        <v>428</v>
      </c>
      <c r="B397" s="80"/>
      <c r="C397" s="80"/>
      <c r="D397" s="80"/>
      <c r="E397" s="82"/>
      <c r="F397" s="32"/>
    </row>
    <row r="398" spans="1:6" ht="22.5" hidden="1" customHeight="1" outlineLevel="2" x14ac:dyDescent="0.25">
      <c r="A398" s="33" t="s">
        <v>429</v>
      </c>
      <c r="B398" s="79">
        <v>350</v>
      </c>
      <c r="C398" s="79" t="s">
        <v>15</v>
      </c>
      <c r="D398" s="83"/>
      <c r="E398" s="81">
        <f>B398*D398</f>
        <v>0</v>
      </c>
      <c r="F398" s="32"/>
    </row>
    <row r="399" spans="1:6" ht="15.75" hidden="1" customHeight="1" outlineLevel="2" x14ac:dyDescent="0.2">
      <c r="A399" s="35" t="s">
        <v>430</v>
      </c>
      <c r="B399" s="80"/>
      <c r="C399" s="80"/>
      <c r="D399" s="80"/>
      <c r="E399" s="82"/>
      <c r="F399" s="32"/>
    </row>
    <row r="400" spans="1:6" ht="22.5" hidden="1" customHeight="1" outlineLevel="2" x14ac:dyDescent="0.25">
      <c r="A400" s="33" t="s">
        <v>431</v>
      </c>
      <c r="B400" s="79">
        <v>700</v>
      </c>
      <c r="C400" s="79" t="s">
        <v>15</v>
      </c>
      <c r="D400" s="83"/>
      <c r="E400" s="81">
        <f>B400*D400</f>
        <v>0</v>
      </c>
      <c r="F400" s="32"/>
    </row>
    <row r="401" spans="1:6" ht="15.75" hidden="1" customHeight="1" outlineLevel="2" x14ac:dyDescent="0.2">
      <c r="A401" s="35" t="s">
        <v>432</v>
      </c>
      <c r="B401" s="80"/>
      <c r="C401" s="80"/>
      <c r="D401" s="80"/>
      <c r="E401" s="82"/>
      <c r="F401" s="32"/>
    </row>
    <row r="402" spans="1:6" ht="22.5" hidden="1" customHeight="1" outlineLevel="2" x14ac:dyDescent="0.25">
      <c r="A402" s="33" t="s">
        <v>433</v>
      </c>
      <c r="B402" s="79">
        <v>500</v>
      </c>
      <c r="C402" s="79" t="s">
        <v>15</v>
      </c>
      <c r="D402" s="83"/>
      <c r="E402" s="81">
        <f>B402*D402</f>
        <v>0</v>
      </c>
      <c r="F402" s="32"/>
    </row>
    <row r="403" spans="1:6" ht="15.75" hidden="1" customHeight="1" outlineLevel="2" x14ac:dyDescent="0.2">
      <c r="A403" s="35" t="s">
        <v>434</v>
      </c>
      <c r="B403" s="80"/>
      <c r="C403" s="80"/>
      <c r="D403" s="80"/>
      <c r="E403" s="82"/>
      <c r="F403" s="32"/>
    </row>
    <row r="404" spans="1:6" ht="22.5" hidden="1" customHeight="1" outlineLevel="2" x14ac:dyDescent="0.25">
      <c r="A404" s="33" t="s">
        <v>435</v>
      </c>
      <c r="B404" s="79">
        <v>800</v>
      </c>
      <c r="C404" s="79" t="s">
        <v>15</v>
      </c>
      <c r="D404" s="83"/>
      <c r="E404" s="81">
        <f>B404*D404</f>
        <v>0</v>
      </c>
      <c r="F404" s="32"/>
    </row>
    <row r="405" spans="1:6" ht="15.75" hidden="1" customHeight="1" outlineLevel="2" x14ac:dyDescent="0.2">
      <c r="A405" s="35" t="s">
        <v>436</v>
      </c>
      <c r="B405" s="80"/>
      <c r="C405" s="80"/>
      <c r="D405" s="80"/>
      <c r="E405" s="82"/>
      <c r="F405" s="32"/>
    </row>
    <row r="406" spans="1:6" ht="22.5" hidden="1" customHeight="1" outlineLevel="2" x14ac:dyDescent="0.25">
      <c r="A406" s="33" t="s">
        <v>437</v>
      </c>
      <c r="B406" s="79">
        <v>500</v>
      </c>
      <c r="C406" s="79" t="s">
        <v>15</v>
      </c>
      <c r="D406" s="83"/>
      <c r="E406" s="81">
        <f>B406*D406</f>
        <v>0</v>
      </c>
      <c r="F406" s="32"/>
    </row>
    <row r="407" spans="1:6" ht="15.75" hidden="1" customHeight="1" outlineLevel="2" x14ac:dyDescent="0.2">
      <c r="A407" s="35" t="s">
        <v>438</v>
      </c>
      <c r="B407" s="80"/>
      <c r="C407" s="80"/>
      <c r="D407" s="80"/>
      <c r="E407" s="82"/>
      <c r="F407" s="32"/>
    </row>
    <row r="408" spans="1:6" ht="22.5" hidden="1" customHeight="1" outlineLevel="2" x14ac:dyDescent="0.25">
      <c r="A408" s="33" t="s">
        <v>439</v>
      </c>
      <c r="B408" s="79">
        <v>800</v>
      </c>
      <c r="C408" s="79" t="s">
        <v>15</v>
      </c>
      <c r="D408" s="83"/>
      <c r="E408" s="81">
        <f>B408*D408</f>
        <v>0</v>
      </c>
      <c r="F408" s="32"/>
    </row>
    <row r="409" spans="1:6" ht="15.75" hidden="1" customHeight="1" outlineLevel="2" x14ac:dyDescent="0.2">
      <c r="A409" s="35" t="s">
        <v>440</v>
      </c>
      <c r="B409" s="80"/>
      <c r="C409" s="80"/>
      <c r="D409" s="80"/>
      <c r="E409" s="82"/>
      <c r="F409" s="32"/>
    </row>
    <row r="410" spans="1:6" ht="22.5" hidden="1" customHeight="1" outlineLevel="2" x14ac:dyDescent="0.25">
      <c r="A410" s="33" t="s">
        <v>441</v>
      </c>
      <c r="B410" s="79" t="s">
        <v>32</v>
      </c>
      <c r="C410" s="79" t="s">
        <v>15</v>
      </c>
      <c r="D410" s="83"/>
      <c r="E410" s="81"/>
      <c r="F410" s="32"/>
    </row>
    <row r="411" spans="1:6" ht="15.75" hidden="1" customHeight="1" outlineLevel="2" x14ac:dyDescent="0.2">
      <c r="A411" s="35" t="s">
        <v>442</v>
      </c>
      <c r="B411" s="80"/>
      <c r="C411" s="80"/>
      <c r="D411" s="80"/>
      <c r="E411" s="82"/>
      <c r="F411" s="32"/>
    </row>
    <row r="412" spans="1:6" ht="11.25" customHeight="1" x14ac:dyDescent="0.2">
      <c r="A412" s="84" t="s">
        <v>12</v>
      </c>
      <c r="B412" s="85"/>
      <c r="C412" s="85"/>
      <c r="D412" s="85"/>
      <c r="E412" s="85"/>
      <c r="F412" s="17"/>
    </row>
    <row r="413" spans="1:6" ht="22.5" customHeight="1" collapsed="1" x14ac:dyDescent="0.2">
      <c r="A413" s="86" t="s">
        <v>443</v>
      </c>
      <c r="B413" s="87"/>
      <c r="C413" s="87"/>
      <c r="D413" s="88"/>
      <c r="E413" s="36"/>
      <c r="F413" s="37">
        <f>(E414+E416+SUM(E422:E441))</f>
        <v>0</v>
      </c>
    </row>
    <row r="414" spans="1:6" ht="22.5" hidden="1" customHeight="1" outlineLevel="1" x14ac:dyDescent="0.25">
      <c r="A414" s="33" t="s">
        <v>444</v>
      </c>
      <c r="B414" s="79">
        <v>5</v>
      </c>
      <c r="C414" s="79" t="s">
        <v>445</v>
      </c>
      <c r="D414" s="83"/>
      <c r="E414" s="81">
        <f>B414*D414</f>
        <v>0</v>
      </c>
      <c r="F414" s="130" t="s">
        <v>446</v>
      </c>
    </row>
    <row r="415" spans="1:6" ht="15.75" hidden="1" customHeight="1" outlineLevel="1" x14ac:dyDescent="0.2">
      <c r="A415" s="35" t="s">
        <v>447</v>
      </c>
      <c r="B415" s="80"/>
      <c r="C415" s="80"/>
      <c r="D415" s="80"/>
      <c r="E415" s="82"/>
      <c r="F415" s="78"/>
    </row>
    <row r="416" spans="1:6" ht="22.5" hidden="1" customHeight="1" outlineLevel="2" x14ac:dyDescent="0.25">
      <c r="A416" s="19" t="s">
        <v>448</v>
      </c>
      <c r="B416" s="20"/>
      <c r="C416" s="20" t="s">
        <v>38</v>
      </c>
      <c r="D416" s="29"/>
      <c r="E416" s="40">
        <f>SUM(F417:F421)</f>
        <v>0</v>
      </c>
      <c r="F416" s="32"/>
    </row>
    <row r="417" spans="1:6" ht="15.75" hidden="1" customHeight="1" outlineLevel="2" x14ac:dyDescent="0.2">
      <c r="A417" s="41" t="s">
        <v>449</v>
      </c>
      <c r="B417" s="20">
        <v>4.5</v>
      </c>
      <c r="C417" s="20" t="s">
        <v>38</v>
      </c>
      <c r="D417" s="29"/>
      <c r="E417" s="40"/>
      <c r="F417" s="40">
        <f t="shared" ref="F417:F421" si="1">B417*D417</f>
        <v>0</v>
      </c>
    </row>
    <row r="418" spans="1:6" ht="15.75" hidden="1" customHeight="1" outlineLevel="2" x14ac:dyDescent="0.2">
      <c r="A418" s="41" t="s">
        <v>450</v>
      </c>
      <c r="B418" s="20">
        <v>1</v>
      </c>
      <c r="C418" s="20" t="s">
        <v>38</v>
      </c>
      <c r="D418" s="29"/>
      <c r="E418" s="40"/>
      <c r="F418" s="40">
        <f t="shared" si="1"/>
        <v>0</v>
      </c>
    </row>
    <row r="419" spans="1:6" ht="15.75" hidden="1" customHeight="1" outlineLevel="2" x14ac:dyDescent="0.2">
      <c r="A419" s="41" t="s">
        <v>451</v>
      </c>
      <c r="B419" s="20">
        <v>1.9</v>
      </c>
      <c r="C419" s="20" t="s">
        <v>38</v>
      </c>
      <c r="D419" s="29"/>
      <c r="E419" s="40"/>
      <c r="F419" s="40">
        <f t="shared" si="1"/>
        <v>0</v>
      </c>
    </row>
    <row r="420" spans="1:6" ht="15.75" hidden="1" customHeight="1" outlineLevel="2" x14ac:dyDescent="0.2">
      <c r="A420" s="41" t="s">
        <v>452</v>
      </c>
      <c r="B420" s="20">
        <v>1.4</v>
      </c>
      <c r="C420" s="20" t="s">
        <v>38</v>
      </c>
      <c r="D420" s="29"/>
      <c r="E420" s="40"/>
      <c r="F420" s="40">
        <f t="shared" si="1"/>
        <v>0</v>
      </c>
    </row>
    <row r="421" spans="1:6" ht="15.75" hidden="1" customHeight="1" outlineLevel="2" x14ac:dyDescent="0.2">
      <c r="A421" s="42" t="s">
        <v>453</v>
      </c>
      <c r="B421" s="20">
        <v>1.4</v>
      </c>
      <c r="C421" s="20" t="s">
        <v>38</v>
      </c>
      <c r="D421" s="29"/>
      <c r="E421" s="40"/>
      <c r="F421" s="40">
        <f t="shared" si="1"/>
        <v>0</v>
      </c>
    </row>
    <row r="422" spans="1:6" ht="22.5" hidden="1" customHeight="1" outlineLevel="1" x14ac:dyDescent="0.25">
      <c r="A422" s="33" t="s">
        <v>454</v>
      </c>
      <c r="B422" s="79">
        <v>2</v>
      </c>
      <c r="C422" s="79" t="s">
        <v>445</v>
      </c>
      <c r="D422" s="83"/>
      <c r="E422" s="81">
        <f>B422*D422</f>
        <v>0</v>
      </c>
      <c r="F422" s="130" t="s">
        <v>455</v>
      </c>
    </row>
    <row r="423" spans="1:6" ht="15.75" hidden="1" customHeight="1" outlineLevel="1" x14ac:dyDescent="0.2">
      <c r="A423" s="35" t="s">
        <v>456</v>
      </c>
      <c r="B423" s="80"/>
      <c r="C423" s="80"/>
      <c r="D423" s="80"/>
      <c r="E423" s="82"/>
      <c r="F423" s="78"/>
    </row>
    <row r="424" spans="1:6" ht="22.5" hidden="1" customHeight="1" outlineLevel="1" x14ac:dyDescent="0.25">
      <c r="A424" s="33" t="s">
        <v>457</v>
      </c>
      <c r="B424" s="79">
        <v>1.1000000000000001</v>
      </c>
      <c r="C424" s="79" t="s">
        <v>445</v>
      </c>
      <c r="D424" s="83"/>
      <c r="E424" s="81">
        <f>B424*D424</f>
        <v>0</v>
      </c>
      <c r="F424" s="32"/>
    </row>
    <row r="425" spans="1:6" ht="15.75" hidden="1" customHeight="1" outlineLevel="1" x14ac:dyDescent="0.2">
      <c r="A425" s="35" t="s">
        <v>458</v>
      </c>
      <c r="B425" s="80"/>
      <c r="C425" s="80"/>
      <c r="D425" s="80"/>
      <c r="E425" s="82"/>
      <c r="F425" s="32"/>
    </row>
    <row r="426" spans="1:6" ht="22.5" hidden="1" customHeight="1" outlineLevel="2" x14ac:dyDescent="0.25">
      <c r="A426" s="33" t="s">
        <v>459</v>
      </c>
      <c r="B426" s="79">
        <v>2.1</v>
      </c>
      <c r="C426" s="79" t="s">
        <v>445</v>
      </c>
      <c r="D426" s="83"/>
      <c r="E426" s="81">
        <f>B426*D426</f>
        <v>0</v>
      </c>
      <c r="F426" s="32"/>
    </row>
    <row r="427" spans="1:6" ht="15.75" hidden="1" customHeight="1" outlineLevel="2" x14ac:dyDescent="0.2">
      <c r="A427" s="35" t="s">
        <v>460</v>
      </c>
      <c r="B427" s="80"/>
      <c r="C427" s="80"/>
      <c r="D427" s="80"/>
      <c r="E427" s="82"/>
      <c r="F427" s="32"/>
    </row>
    <row r="428" spans="1:6" ht="22.5" hidden="1" customHeight="1" outlineLevel="1" x14ac:dyDescent="0.25">
      <c r="A428" s="33" t="s">
        <v>461</v>
      </c>
      <c r="B428" s="79">
        <v>3.5</v>
      </c>
      <c r="C428" s="79" t="s">
        <v>59</v>
      </c>
      <c r="D428" s="83"/>
      <c r="E428" s="81">
        <f>B428*D428</f>
        <v>0</v>
      </c>
      <c r="F428" s="76" t="s">
        <v>462</v>
      </c>
    </row>
    <row r="429" spans="1:6" ht="15.75" hidden="1" customHeight="1" outlineLevel="1" x14ac:dyDescent="0.2">
      <c r="A429" s="35" t="s">
        <v>463</v>
      </c>
      <c r="B429" s="80"/>
      <c r="C429" s="80"/>
      <c r="D429" s="80"/>
      <c r="E429" s="82"/>
      <c r="F429" s="78"/>
    </row>
    <row r="430" spans="1:6" ht="22.5" hidden="1" customHeight="1" outlineLevel="2" x14ac:dyDescent="0.25">
      <c r="A430" s="33" t="s">
        <v>464</v>
      </c>
      <c r="B430" s="79">
        <v>3.5</v>
      </c>
      <c r="C430" s="79" t="s">
        <v>59</v>
      </c>
      <c r="D430" s="83"/>
      <c r="E430" s="103">
        <f>B430*D430</f>
        <v>0</v>
      </c>
      <c r="F430" s="43"/>
    </row>
    <row r="431" spans="1:6" ht="15.75" hidden="1" customHeight="1" outlineLevel="2" x14ac:dyDescent="0.2">
      <c r="A431" s="35" t="s">
        <v>465</v>
      </c>
      <c r="B431" s="80"/>
      <c r="C431" s="80"/>
      <c r="D431" s="80"/>
      <c r="E431" s="82"/>
      <c r="F431" s="32">
        <v>5300</v>
      </c>
    </row>
    <row r="432" spans="1:6" ht="22.5" hidden="1" customHeight="1" outlineLevel="2" x14ac:dyDescent="0.25">
      <c r="A432" s="33" t="s">
        <v>466</v>
      </c>
      <c r="B432" s="79">
        <v>300</v>
      </c>
      <c r="C432" s="79" t="s">
        <v>15</v>
      </c>
      <c r="D432" s="83"/>
      <c r="E432" s="81">
        <f>B432*D432</f>
        <v>0</v>
      </c>
      <c r="F432" s="32"/>
    </row>
    <row r="433" spans="1:6" ht="15.75" hidden="1" customHeight="1" outlineLevel="2" x14ac:dyDescent="0.2">
      <c r="A433" s="35" t="s">
        <v>467</v>
      </c>
      <c r="B433" s="80"/>
      <c r="C433" s="80"/>
      <c r="D433" s="80"/>
      <c r="E433" s="82"/>
      <c r="F433" s="32"/>
    </row>
    <row r="434" spans="1:6" ht="22.5" hidden="1" customHeight="1" outlineLevel="2" x14ac:dyDescent="0.25">
      <c r="A434" s="33" t="s">
        <v>468</v>
      </c>
      <c r="B434" s="79">
        <v>13</v>
      </c>
      <c r="C434" s="79" t="s">
        <v>38</v>
      </c>
      <c r="D434" s="83"/>
      <c r="E434" s="81">
        <f>B434*D434</f>
        <v>0</v>
      </c>
      <c r="F434" s="76" t="s">
        <v>469</v>
      </c>
    </row>
    <row r="435" spans="1:6" ht="15.75" hidden="1" customHeight="1" outlineLevel="2" x14ac:dyDescent="0.2">
      <c r="A435" s="35" t="s">
        <v>470</v>
      </c>
      <c r="B435" s="80"/>
      <c r="C435" s="80"/>
      <c r="D435" s="80"/>
      <c r="E435" s="82"/>
      <c r="F435" s="78"/>
    </row>
    <row r="436" spans="1:6" ht="22.5" hidden="1" customHeight="1" outlineLevel="2" x14ac:dyDescent="0.25">
      <c r="A436" s="33" t="s">
        <v>471</v>
      </c>
      <c r="B436" s="79">
        <v>14</v>
      </c>
      <c r="C436" s="79" t="s">
        <v>38</v>
      </c>
      <c r="D436" s="83"/>
      <c r="E436" s="81">
        <f>B436*D436</f>
        <v>0</v>
      </c>
      <c r="F436" s="76" t="s">
        <v>472</v>
      </c>
    </row>
    <row r="437" spans="1:6" ht="15.75" hidden="1" customHeight="1" outlineLevel="2" x14ac:dyDescent="0.2">
      <c r="A437" s="35" t="s">
        <v>473</v>
      </c>
      <c r="B437" s="80"/>
      <c r="C437" s="80"/>
      <c r="D437" s="80"/>
      <c r="E437" s="82"/>
      <c r="F437" s="78"/>
    </row>
    <row r="438" spans="1:6" ht="22.5" hidden="1" customHeight="1" outlineLevel="2" x14ac:dyDescent="0.25">
      <c r="A438" s="33" t="s">
        <v>474</v>
      </c>
      <c r="B438" s="79">
        <v>16</v>
      </c>
      <c r="C438" s="79" t="s">
        <v>38</v>
      </c>
      <c r="D438" s="83"/>
      <c r="E438" s="81">
        <f>B438*D438</f>
        <v>0</v>
      </c>
      <c r="F438" s="76" t="s">
        <v>472</v>
      </c>
    </row>
    <row r="439" spans="1:6" ht="15.75" hidden="1" customHeight="1" outlineLevel="2" x14ac:dyDescent="0.2">
      <c r="A439" s="35" t="s">
        <v>475</v>
      </c>
      <c r="B439" s="80"/>
      <c r="C439" s="80"/>
      <c r="D439" s="80"/>
      <c r="E439" s="82"/>
      <c r="F439" s="78"/>
    </row>
    <row r="440" spans="1:6" ht="22.5" hidden="1" customHeight="1" outlineLevel="2" x14ac:dyDescent="0.25">
      <c r="A440" s="33" t="s">
        <v>476</v>
      </c>
      <c r="B440" s="79">
        <v>400</v>
      </c>
      <c r="C440" s="79" t="s">
        <v>15</v>
      </c>
      <c r="D440" s="83"/>
      <c r="E440" s="81">
        <f>B440*D440</f>
        <v>0</v>
      </c>
      <c r="F440" s="32"/>
    </row>
    <row r="441" spans="1:6" ht="15.75" hidden="1" customHeight="1" outlineLevel="2" x14ac:dyDescent="0.2">
      <c r="A441" s="35" t="s">
        <v>477</v>
      </c>
      <c r="B441" s="80"/>
      <c r="C441" s="80"/>
      <c r="D441" s="80"/>
      <c r="E441" s="82"/>
      <c r="F441" s="32"/>
    </row>
    <row r="442" spans="1:6" ht="11.25" customHeight="1" x14ac:dyDescent="0.2">
      <c r="A442" s="84" t="s">
        <v>12</v>
      </c>
      <c r="B442" s="85"/>
      <c r="C442" s="85"/>
      <c r="D442" s="85"/>
      <c r="E442" s="85"/>
      <c r="F442" s="17"/>
    </row>
    <row r="443" spans="1:6" ht="22.5" customHeight="1" collapsed="1" x14ac:dyDescent="0.2">
      <c r="A443" s="86" t="s">
        <v>478</v>
      </c>
      <c r="B443" s="87"/>
      <c r="C443" s="87"/>
      <c r="D443" s="88"/>
      <c r="E443" s="36"/>
      <c r="F443" s="37">
        <f>SUM(E444:E463)</f>
        <v>0</v>
      </c>
    </row>
    <row r="444" spans="1:6" ht="22.5" hidden="1" customHeight="1" outlineLevel="1" x14ac:dyDescent="0.25">
      <c r="A444" s="44" t="s">
        <v>479</v>
      </c>
      <c r="B444" s="79">
        <v>7</v>
      </c>
      <c r="C444" s="79" t="s">
        <v>480</v>
      </c>
      <c r="D444" s="83"/>
      <c r="E444" s="81">
        <f>B444*D444</f>
        <v>0</v>
      </c>
      <c r="F444" s="32"/>
    </row>
    <row r="445" spans="1:6" ht="15.75" hidden="1" customHeight="1" outlineLevel="1" x14ac:dyDescent="0.2">
      <c r="A445" s="35" t="s">
        <v>481</v>
      </c>
      <c r="B445" s="80"/>
      <c r="C445" s="80"/>
      <c r="D445" s="80"/>
      <c r="E445" s="82"/>
      <c r="F445" s="32"/>
    </row>
    <row r="446" spans="1:6" ht="22.5" hidden="1" customHeight="1" outlineLevel="1" x14ac:dyDescent="0.25">
      <c r="A446" s="33" t="s">
        <v>482</v>
      </c>
      <c r="B446" s="79">
        <v>7.9</v>
      </c>
      <c r="C446" s="79" t="s">
        <v>480</v>
      </c>
      <c r="D446" s="83"/>
      <c r="E446" s="90">
        <f>B446*D446</f>
        <v>0</v>
      </c>
      <c r="F446" s="32"/>
    </row>
    <row r="447" spans="1:6" ht="15.75" hidden="1" customHeight="1" outlineLevel="1" x14ac:dyDescent="0.2">
      <c r="A447" s="35" t="s">
        <v>483</v>
      </c>
      <c r="B447" s="80"/>
      <c r="C447" s="80"/>
      <c r="D447" s="80"/>
      <c r="E447" s="78"/>
      <c r="F447" s="32"/>
    </row>
    <row r="448" spans="1:6" ht="22.5" hidden="1" customHeight="1" outlineLevel="2" x14ac:dyDescent="0.25">
      <c r="A448" s="33" t="s">
        <v>484</v>
      </c>
      <c r="B448" s="79">
        <v>700</v>
      </c>
      <c r="C448" s="79" t="s">
        <v>15</v>
      </c>
      <c r="D448" s="83"/>
      <c r="E448" s="90">
        <f>B448*D448</f>
        <v>0</v>
      </c>
      <c r="F448" s="32"/>
    </row>
    <row r="449" spans="1:6" ht="15.75" hidden="1" customHeight="1" outlineLevel="2" x14ac:dyDescent="0.2">
      <c r="A449" s="35" t="s">
        <v>485</v>
      </c>
      <c r="B449" s="80"/>
      <c r="C449" s="80"/>
      <c r="D449" s="80"/>
      <c r="E449" s="78"/>
      <c r="F449" s="32"/>
    </row>
    <row r="450" spans="1:6" ht="22.5" hidden="1" customHeight="1" outlineLevel="2" x14ac:dyDescent="0.25">
      <c r="A450" s="33" t="s">
        <v>486</v>
      </c>
      <c r="B450" s="79">
        <v>600</v>
      </c>
      <c r="C450" s="79" t="s">
        <v>15</v>
      </c>
      <c r="D450" s="83"/>
      <c r="E450" s="90">
        <f>B450*D450</f>
        <v>0</v>
      </c>
      <c r="F450" s="32"/>
    </row>
    <row r="451" spans="1:6" ht="15.75" hidden="1" customHeight="1" outlineLevel="2" x14ac:dyDescent="0.2">
      <c r="A451" s="35" t="s">
        <v>487</v>
      </c>
      <c r="B451" s="80"/>
      <c r="C451" s="80"/>
      <c r="D451" s="80"/>
      <c r="E451" s="78"/>
      <c r="F451" s="32"/>
    </row>
    <row r="452" spans="1:6" ht="22.5" hidden="1" customHeight="1" outlineLevel="2" x14ac:dyDescent="0.25">
      <c r="A452" s="33" t="s">
        <v>488</v>
      </c>
      <c r="B452" s="79">
        <v>300</v>
      </c>
      <c r="C452" s="79" t="s">
        <v>15</v>
      </c>
      <c r="D452" s="83"/>
      <c r="E452" s="90">
        <f>B452*D452</f>
        <v>0</v>
      </c>
      <c r="F452" s="32"/>
    </row>
    <row r="453" spans="1:6" ht="15.75" hidden="1" customHeight="1" outlineLevel="2" x14ac:dyDescent="0.2">
      <c r="A453" s="35" t="s">
        <v>489</v>
      </c>
      <c r="B453" s="80"/>
      <c r="C453" s="80"/>
      <c r="D453" s="80"/>
      <c r="E453" s="78"/>
      <c r="F453" s="32"/>
    </row>
    <row r="454" spans="1:6" ht="22.5" hidden="1" customHeight="1" outlineLevel="2" x14ac:dyDescent="0.25">
      <c r="A454" s="33" t="s">
        <v>490</v>
      </c>
      <c r="B454" s="79">
        <v>20</v>
      </c>
      <c r="C454" s="79" t="s">
        <v>38</v>
      </c>
      <c r="D454" s="83"/>
      <c r="E454" s="90">
        <f>B454*D454</f>
        <v>0</v>
      </c>
      <c r="F454" s="32"/>
    </row>
    <row r="455" spans="1:6" ht="15.75" hidden="1" customHeight="1" outlineLevel="2" x14ac:dyDescent="0.2">
      <c r="A455" s="35" t="s">
        <v>491</v>
      </c>
      <c r="B455" s="80"/>
      <c r="C455" s="80"/>
      <c r="D455" s="80"/>
      <c r="E455" s="78"/>
      <c r="F455" s="32"/>
    </row>
    <row r="456" spans="1:6" ht="22.5" hidden="1" customHeight="1" outlineLevel="2" x14ac:dyDescent="0.25">
      <c r="A456" s="33" t="s">
        <v>492</v>
      </c>
      <c r="B456" s="79">
        <v>6</v>
      </c>
      <c r="C456" s="79" t="s">
        <v>38</v>
      </c>
      <c r="D456" s="83"/>
      <c r="E456" s="90">
        <f>B456*D456</f>
        <v>0</v>
      </c>
      <c r="F456" s="32"/>
    </row>
    <row r="457" spans="1:6" ht="15.75" hidden="1" customHeight="1" outlineLevel="2" x14ac:dyDescent="0.2">
      <c r="A457" s="35" t="s">
        <v>493</v>
      </c>
      <c r="B457" s="80"/>
      <c r="C457" s="80"/>
      <c r="D457" s="80"/>
      <c r="E457" s="78"/>
      <c r="F457" s="32"/>
    </row>
    <row r="458" spans="1:6" ht="22.5" hidden="1" customHeight="1" outlineLevel="2" x14ac:dyDescent="0.25">
      <c r="A458" s="33" t="s">
        <v>494</v>
      </c>
      <c r="B458" s="79">
        <v>15</v>
      </c>
      <c r="C458" s="79" t="s">
        <v>15</v>
      </c>
      <c r="D458" s="83"/>
      <c r="E458" s="90">
        <f>B458*D458</f>
        <v>0</v>
      </c>
      <c r="F458" s="32"/>
    </row>
    <row r="459" spans="1:6" ht="15.75" hidden="1" customHeight="1" outlineLevel="2" x14ac:dyDescent="0.2">
      <c r="A459" s="35" t="s">
        <v>495</v>
      </c>
      <c r="B459" s="80"/>
      <c r="C459" s="80"/>
      <c r="D459" s="80"/>
      <c r="E459" s="78"/>
      <c r="F459" s="32"/>
    </row>
    <row r="460" spans="1:6" ht="22.5" hidden="1" customHeight="1" outlineLevel="1" x14ac:dyDescent="0.25">
      <c r="A460" s="33" t="s">
        <v>496</v>
      </c>
      <c r="B460" s="79">
        <v>3</v>
      </c>
      <c r="C460" s="79" t="s">
        <v>59</v>
      </c>
      <c r="D460" s="83"/>
      <c r="E460" s="90">
        <f>B460*D460</f>
        <v>0</v>
      </c>
      <c r="F460" s="76" t="s">
        <v>497</v>
      </c>
    </row>
    <row r="461" spans="1:6" ht="15.75" hidden="1" customHeight="1" outlineLevel="1" x14ac:dyDescent="0.2">
      <c r="A461" s="35" t="s">
        <v>498</v>
      </c>
      <c r="B461" s="80"/>
      <c r="C461" s="80"/>
      <c r="D461" s="80"/>
      <c r="E461" s="78"/>
      <c r="F461" s="78"/>
    </row>
    <row r="462" spans="1:6" ht="22.5" hidden="1" customHeight="1" outlineLevel="2" x14ac:dyDescent="0.25">
      <c r="A462" s="33" t="s">
        <v>499</v>
      </c>
      <c r="B462" s="79">
        <v>300</v>
      </c>
      <c r="C462" s="79" t="s">
        <v>15</v>
      </c>
      <c r="D462" s="83"/>
      <c r="E462" s="90">
        <f>B462*D462</f>
        <v>0</v>
      </c>
      <c r="F462" s="32"/>
    </row>
    <row r="463" spans="1:6" ht="15.75" hidden="1" customHeight="1" outlineLevel="2" x14ac:dyDescent="0.2">
      <c r="A463" s="35" t="s">
        <v>500</v>
      </c>
      <c r="B463" s="80"/>
      <c r="C463" s="80"/>
      <c r="D463" s="80"/>
      <c r="E463" s="78"/>
      <c r="F463" s="32"/>
    </row>
    <row r="464" spans="1:6" ht="11.25" customHeight="1" x14ac:dyDescent="0.2">
      <c r="A464" s="84" t="s">
        <v>12</v>
      </c>
      <c r="B464" s="85"/>
      <c r="C464" s="85"/>
      <c r="D464" s="85"/>
      <c r="E464" s="85"/>
      <c r="F464" s="17"/>
    </row>
    <row r="465" spans="1:6" ht="22.5" customHeight="1" collapsed="1" x14ac:dyDescent="0.2">
      <c r="A465" s="86" t="s">
        <v>501</v>
      </c>
      <c r="B465" s="87"/>
      <c r="C465" s="87"/>
      <c r="D465" s="88"/>
      <c r="E465" s="36"/>
      <c r="F465" s="37">
        <f>SUM(E466:E503)</f>
        <v>0</v>
      </c>
    </row>
    <row r="466" spans="1:6" ht="22.5" hidden="1" customHeight="1" outlineLevel="1" x14ac:dyDescent="0.25">
      <c r="A466" s="33" t="s">
        <v>502</v>
      </c>
      <c r="B466" s="79">
        <v>1000</v>
      </c>
      <c r="C466" s="79" t="s">
        <v>15</v>
      </c>
      <c r="D466" s="83"/>
      <c r="E466" s="81">
        <f>B466*D466</f>
        <v>0</v>
      </c>
      <c r="F466" s="32"/>
    </row>
    <row r="467" spans="1:6" ht="15.75" hidden="1" customHeight="1" outlineLevel="1" x14ac:dyDescent="0.2">
      <c r="A467" s="35" t="s">
        <v>503</v>
      </c>
      <c r="B467" s="80"/>
      <c r="C467" s="80"/>
      <c r="D467" s="80"/>
      <c r="E467" s="82"/>
      <c r="F467" s="32"/>
    </row>
    <row r="468" spans="1:6" ht="22.5" hidden="1" customHeight="1" outlineLevel="1" x14ac:dyDescent="0.25">
      <c r="A468" s="33" t="s">
        <v>504</v>
      </c>
      <c r="B468" s="79">
        <v>2500</v>
      </c>
      <c r="C468" s="79" t="s">
        <v>15</v>
      </c>
      <c r="D468" s="83"/>
      <c r="E468" s="81">
        <f>B468*D468</f>
        <v>0</v>
      </c>
      <c r="F468" s="76" t="s">
        <v>505</v>
      </c>
    </row>
    <row r="469" spans="1:6" ht="15.75" hidden="1" customHeight="1" outlineLevel="1" x14ac:dyDescent="0.2">
      <c r="A469" s="35" t="s">
        <v>506</v>
      </c>
      <c r="B469" s="80"/>
      <c r="C469" s="80"/>
      <c r="D469" s="80"/>
      <c r="E469" s="82"/>
      <c r="F469" s="78"/>
    </row>
    <row r="470" spans="1:6" ht="22.5" hidden="1" customHeight="1" outlineLevel="1" x14ac:dyDescent="0.25">
      <c r="A470" s="33" t="s">
        <v>507</v>
      </c>
      <c r="B470" s="79">
        <v>8</v>
      </c>
      <c r="C470" s="79" t="s">
        <v>38</v>
      </c>
      <c r="D470" s="83"/>
      <c r="E470" s="81">
        <f>B470*D470</f>
        <v>0</v>
      </c>
      <c r="F470" s="92" t="s">
        <v>508</v>
      </c>
    </row>
    <row r="471" spans="1:6" ht="15.75" hidden="1" customHeight="1" outlineLevel="1" x14ac:dyDescent="0.2">
      <c r="A471" s="35" t="s">
        <v>509</v>
      </c>
      <c r="B471" s="80"/>
      <c r="C471" s="80"/>
      <c r="D471" s="80"/>
      <c r="E471" s="82"/>
      <c r="F471" s="78"/>
    </row>
    <row r="472" spans="1:6" ht="22.5" hidden="1" customHeight="1" outlineLevel="2" x14ac:dyDescent="0.25">
      <c r="A472" s="33" t="s">
        <v>510</v>
      </c>
      <c r="B472" s="79">
        <v>10</v>
      </c>
      <c r="C472" s="79" t="s">
        <v>38</v>
      </c>
      <c r="D472" s="83"/>
      <c r="E472" s="81">
        <f>B472*D472</f>
        <v>0</v>
      </c>
      <c r="F472" s="92" t="s">
        <v>508</v>
      </c>
    </row>
    <row r="473" spans="1:6" ht="15.75" hidden="1" customHeight="1" outlineLevel="2" x14ac:dyDescent="0.2">
      <c r="A473" s="35" t="s">
        <v>511</v>
      </c>
      <c r="B473" s="80"/>
      <c r="C473" s="80"/>
      <c r="D473" s="80"/>
      <c r="E473" s="82"/>
      <c r="F473" s="78"/>
    </row>
    <row r="474" spans="1:6" ht="22.5" hidden="1" customHeight="1" outlineLevel="1" x14ac:dyDescent="0.25">
      <c r="A474" s="33" t="s">
        <v>512</v>
      </c>
      <c r="B474" s="79">
        <v>6</v>
      </c>
      <c r="C474" s="79" t="s">
        <v>38</v>
      </c>
      <c r="D474" s="83">
        <f>D470*1.2</f>
        <v>0</v>
      </c>
      <c r="E474" s="81">
        <f>B474*D474</f>
        <v>0</v>
      </c>
      <c r="F474" s="92"/>
    </row>
    <row r="475" spans="1:6" ht="15.75" hidden="1" customHeight="1" outlineLevel="1" x14ac:dyDescent="0.2">
      <c r="A475" s="35" t="s">
        <v>513</v>
      </c>
      <c r="B475" s="80"/>
      <c r="C475" s="80"/>
      <c r="D475" s="80"/>
      <c r="E475" s="82"/>
      <c r="F475" s="78"/>
    </row>
    <row r="476" spans="1:6" ht="22.5" hidden="1" customHeight="1" outlineLevel="2" x14ac:dyDescent="0.25">
      <c r="A476" s="33" t="s">
        <v>514</v>
      </c>
      <c r="B476" s="79">
        <v>3.5</v>
      </c>
      <c r="C476" s="79" t="s">
        <v>38</v>
      </c>
      <c r="D476" s="83"/>
      <c r="E476" s="81">
        <f>B476*D476</f>
        <v>0</v>
      </c>
      <c r="F476" s="92" t="s">
        <v>508</v>
      </c>
    </row>
    <row r="477" spans="1:6" ht="15.75" hidden="1" customHeight="1" outlineLevel="2" x14ac:dyDescent="0.2">
      <c r="A477" s="35" t="s">
        <v>515</v>
      </c>
      <c r="B477" s="80"/>
      <c r="C477" s="80"/>
      <c r="D477" s="80"/>
      <c r="E477" s="82"/>
      <c r="F477" s="78"/>
    </row>
    <row r="478" spans="1:6" ht="22.5" hidden="1" customHeight="1" outlineLevel="2" x14ac:dyDescent="0.25">
      <c r="A478" s="33" t="s">
        <v>516</v>
      </c>
      <c r="B478" s="79">
        <v>6.9</v>
      </c>
      <c r="C478" s="79" t="s">
        <v>38</v>
      </c>
      <c r="D478" s="83">
        <f>D476*1.2</f>
        <v>0</v>
      </c>
      <c r="E478" s="81">
        <f>B478*D478</f>
        <v>0</v>
      </c>
      <c r="F478" s="32"/>
    </row>
    <row r="479" spans="1:6" ht="15.75" hidden="1" customHeight="1" outlineLevel="2" x14ac:dyDescent="0.2">
      <c r="A479" s="35" t="s">
        <v>517</v>
      </c>
      <c r="B479" s="80"/>
      <c r="C479" s="80"/>
      <c r="D479" s="80"/>
      <c r="E479" s="82"/>
      <c r="F479" s="32"/>
    </row>
    <row r="480" spans="1:6" ht="22.5" hidden="1" customHeight="1" outlineLevel="1" x14ac:dyDescent="0.25">
      <c r="A480" s="33" t="s">
        <v>518</v>
      </c>
      <c r="B480" s="79">
        <v>1.75</v>
      </c>
      <c r="C480" s="79" t="s">
        <v>38</v>
      </c>
      <c r="D480" s="83"/>
      <c r="E480" s="81">
        <f>B480*D480</f>
        <v>0</v>
      </c>
      <c r="F480" s="92" t="s">
        <v>508</v>
      </c>
    </row>
    <row r="481" spans="1:6" ht="15.75" hidden="1" customHeight="1" outlineLevel="1" x14ac:dyDescent="0.2">
      <c r="A481" s="35" t="s">
        <v>519</v>
      </c>
      <c r="B481" s="80"/>
      <c r="C481" s="80"/>
      <c r="D481" s="80"/>
      <c r="E481" s="82"/>
      <c r="F481" s="78"/>
    </row>
    <row r="482" spans="1:6" ht="22.5" hidden="1" customHeight="1" outlineLevel="1" x14ac:dyDescent="0.25">
      <c r="A482" s="33" t="s">
        <v>520</v>
      </c>
      <c r="B482" s="79">
        <v>2.5</v>
      </c>
      <c r="C482" s="79" t="s">
        <v>38</v>
      </c>
      <c r="D482" s="83">
        <f>D480*1.2</f>
        <v>0</v>
      </c>
      <c r="E482" s="81">
        <f>B482*D482</f>
        <v>0</v>
      </c>
      <c r="F482" s="32"/>
    </row>
    <row r="483" spans="1:6" ht="15.75" hidden="1" customHeight="1" outlineLevel="1" x14ac:dyDescent="0.2">
      <c r="A483" s="35" t="s">
        <v>521</v>
      </c>
      <c r="B483" s="80"/>
      <c r="C483" s="80"/>
      <c r="D483" s="80"/>
      <c r="E483" s="82"/>
      <c r="F483" s="32"/>
    </row>
    <row r="484" spans="1:6" ht="22.5" hidden="1" customHeight="1" outlineLevel="2" x14ac:dyDescent="0.25">
      <c r="A484" s="33" t="s">
        <v>522</v>
      </c>
      <c r="B484" s="79">
        <v>1.75</v>
      </c>
      <c r="C484" s="79" t="s">
        <v>38</v>
      </c>
      <c r="D484" s="83"/>
      <c r="E484" s="81">
        <f>B484*D484</f>
        <v>0</v>
      </c>
      <c r="F484" s="92" t="s">
        <v>508</v>
      </c>
    </row>
    <row r="485" spans="1:6" ht="15.75" hidden="1" customHeight="1" outlineLevel="2" x14ac:dyDescent="0.2">
      <c r="A485" s="35" t="s">
        <v>523</v>
      </c>
      <c r="B485" s="80"/>
      <c r="C485" s="80"/>
      <c r="D485" s="80"/>
      <c r="E485" s="82"/>
      <c r="F485" s="78"/>
    </row>
    <row r="486" spans="1:6" ht="22.5" hidden="1" customHeight="1" outlineLevel="2" x14ac:dyDescent="0.25">
      <c r="A486" s="33" t="s">
        <v>524</v>
      </c>
      <c r="B486" s="79">
        <v>3.3</v>
      </c>
      <c r="C486" s="79" t="s">
        <v>38</v>
      </c>
      <c r="D486" s="83">
        <f>D484*1.2</f>
        <v>0</v>
      </c>
      <c r="E486" s="81">
        <f>B486*D486</f>
        <v>0</v>
      </c>
      <c r="F486" s="32"/>
    </row>
    <row r="487" spans="1:6" ht="15.75" hidden="1" customHeight="1" outlineLevel="2" x14ac:dyDescent="0.2">
      <c r="A487" s="35" t="s">
        <v>525</v>
      </c>
      <c r="B487" s="80"/>
      <c r="C487" s="80"/>
      <c r="D487" s="80"/>
      <c r="E487" s="82"/>
      <c r="F487" s="32"/>
    </row>
    <row r="488" spans="1:6" ht="22.5" hidden="1" customHeight="1" outlineLevel="2" x14ac:dyDescent="0.25">
      <c r="A488" s="33" t="s">
        <v>526</v>
      </c>
      <c r="B488" s="79">
        <v>2.4</v>
      </c>
      <c r="C488" s="79" t="s">
        <v>38</v>
      </c>
      <c r="D488" s="83"/>
      <c r="E488" s="81">
        <f>B488*D488</f>
        <v>0</v>
      </c>
      <c r="F488" s="92" t="s">
        <v>508</v>
      </c>
    </row>
    <row r="489" spans="1:6" ht="15.75" hidden="1" customHeight="1" outlineLevel="2" x14ac:dyDescent="0.2">
      <c r="A489" s="35" t="s">
        <v>527</v>
      </c>
      <c r="B489" s="80"/>
      <c r="C489" s="80"/>
      <c r="D489" s="80"/>
      <c r="E489" s="82"/>
      <c r="F489" s="78"/>
    </row>
    <row r="490" spans="1:6" ht="22.5" hidden="1" customHeight="1" outlineLevel="2" x14ac:dyDescent="0.25">
      <c r="A490" s="33" t="s">
        <v>528</v>
      </c>
      <c r="B490" s="79">
        <v>2</v>
      </c>
      <c r="C490" s="79" t="s">
        <v>38</v>
      </c>
      <c r="D490" s="83">
        <f>D488*1.2</f>
        <v>0</v>
      </c>
      <c r="E490" s="81">
        <f>B490*D490</f>
        <v>0</v>
      </c>
      <c r="F490" s="32"/>
    </row>
    <row r="491" spans="1:6" ht="15.75" hidden="1" customHeight="1" outlineLevel="2" x14ac:dyDescent="0.2">
      <c r="A491" s="35" t="s">
        <v>529</v>
      </c>
      <c r="B491" s="80"/>
      <c r="C491" s="80"/>
      <c r="D491" s="80"/>
      <c r="E491" s="82"/>
      <c r="F491" s="32"/>
    </row>
    <row r="492" spans="1:6" ht="22.5" hidden="1" customHeight="1" outlineLevel="2" x14ac:dyDescent="0.25">
      <c r="A492" s="33" t="s">
        <v>530</v>
      </c>
      <c r="B492" s="79">
        <v>1</v>
      </c>
      <c r="C492" s="79" t="s">
        <v>38</v>
      </c>
      <c r="D492" s="83"/>
      <c r="E492" s="81">
        <f>B492*D492</f>
        <v>0</v>
      </c>
      <c r="F492" s="92" t="s">
        <v>508</v>
      </c>
    </row>
    <row r="493" spans="1:6" ht="15.75" hidden="1" customHeight="1" outlineLevel="2" x14ac:dyDescent="0.2">
      <c r="A493" s="35" t="s">
        <v>531</v>
      </c>
      <c r="B493" s="80"/>
      <c r="C493" s="80"/>
      <c r="D493" s="80"/>
      <c r="E493" s="82"/>
      <c r="F493" s="78"/>
    </row>
    <row r="494" spans="1:6" ht="22.5" hidden="1" customHeight="1" outlineLevel="2" x14ac:dyDescent="0.25">
      <c r="A494" s="33" t="s">
        <v>532</v>
      </c>
      <c r="B494" s="79">
        <v>1.5</v>
      </c>
      <c r="C494" s="79" t="s">
        <v>38</v>
      </c>
      <c r="D494" s="83">
        <f>D492</f>
        <v>0</v>
      </c>
      <c r="E494" s="81">
        <f>B494*D494</f>
        <v>0</v>
      </c>
      <c r="F494" s="32"/>
    </row>
    <row r="495" spans="1:6" ht="15.75" hidden="1" customHeight="1" outlineLevel="2" x14ac:dyDescent="0.2">
      <c r="A495" s="35" t="s">
        <v>533</v>
      </c>
      <c r="B495" s="80"/>
      <c r="C495" s="80"/>
      <c r="D495" s="80"/>
      <c r="E495" s="82"/>
      <c r="F495" s="32"/>
    </row>
    <row r="496" spans="1:6" ht="22.5" hidden="1" customHeight="1" outlineLevel="2" x14ac:dyDescent="0.25">
      <c r="A496" s="33" t="s">
        <v>534</v>
      </c>
      <c r="B496" s="79">
        <v>4</v>
      </c>
      <c r="C496" s="79" t="s">
        <v>36</v>
      </c>
      <c r="D496" s="83"/>
      <c r="E496" s="81">
        <f>B496*D496</f>
        <v>0</v>
      </c>
      <c r="F496" s="32"/>
    </row>
    <row r="497" spans="1:6" ht="15.75" hidden="1" customHeight="1" outlineLevel="2" x14ac:dyDescent="0.2">
      <c r="A497" s="35" t="s">
        <v>535</v>
      </c>
      <c r="B497" s="80"/>
      <c r="C497" s="80"/>
      <c r="D497" s="80"/>
      <c r="E497" s="82"/>
      <c r="F497" s="32"/>
    </row>
    <row r="498" spans="1:6" ht="22.5" hidden="1" customHeight="1" outlineLevel="2" x14ac:dyDescent="0.25">
      <c r="A498" s="33" t="s">
        <v>536</v>
      </c>
      <c r="B498" s="79">
        <v>1.25</v>
      </c>
      <c r="C498" s="79" t="s">
        <v>36</v>
      </c>
      <c r="D498" s="83"/>
      <c r="E498" s="81">
        <f>B498*D498</f>
        <v>0</v>
      </c>
      <c r="F498" s="32"/>
    </row>
    <row r="499" spans="1:6" ht="15.75" hidden="1" customHeight="1" outlineLevel="2" x14ac:dyDescent="0.2">
      <c r="A499" s="35" t="s">
        <v>537</v>
      </c>
      <c r="B499" s="80"/>
      <c r="C499" s="80"/>
      <c r="D499" s="80"/>
      <c r="E499" s="82"/>
      <c r="F499" s="32"/>
    </row>
    <row r="500" spans="1:6" ht="22.5" hidden="1" customHeight="1" outlineLevel="2" x14ac:dyDescent="0.25">
      <c r="A500" s="33" t="s">
        <v>538</v>
      </c>
      <c r="B500" s="79">
        <v>4</v>
      </c>
      <c r="C500" s="79" t="s">
        <v>36</v>
      </c>
      <c r="D500" s="83"/>
      <c r="E500" s="81">
        <f>B500*D500</f>
        <v>0</v>
      </c>
      <c r="F500" s="32"/>
    </row>
    <row r="501" spans="1:6" ht="15.75" hidden="1" customHeight="1" outlineLevel="2" x14ac:dyDescent="0.2">
      <c r="A501" s="35" t="s">
        <v>539</v>
      </c>
      <c r="B501" s="80"/>
      <c r="C501" s="80"/>
      <c r="D501" s="80"/>
      <c r="E501" s="82"/>
      <c r="F501" s="32"/>
    </row>
    <row r="502" spans="1:6" ht="22.5" hidden="1" customHeight="1" outlineLevel="2" x14ac:dyDescent="0.25">
      <c r="A502" s="33" t="s">
        <v>540</v>
      </c>
      <c r="B502" s="79">
        <v>1.7</v>
      </c>
      <c r="C502" s="79" t="s">
        <v>36</v>
      </c>
      <c r="D502" s="83"/>
      <c r="E502" s="81">
        <f>B502*D502</f>
        <v>0</v>
      </c>
      <c r="F502" s="32"/>
    </row>
    <row r="503" spans="1:6" ht="15.75" hidden="1" customHeight="1" outlineLevel="2" x14ac:dyDescent="0.2">
      <c r="A503" s="35" t="s">
        <v>541</v>
      </c>
      <c r="B503" s="80"/>
      <c r="C503" s="80"/>
      <c r="D503" s="80"/>
      <c r="E503" s="82"/>
      <c r="F503" s="32"/>
    </row>
    <row r="504" spans="1:6" ht="11.25" customHeight="1" x14ac:dyDescent="0.2">
      <c r="A504" s="84" t="s">
        <v>12</v>
      </c>
      <c r="B504" s="85"/>
      <c r="C504" s="85"/>
      <c r="D504" s="85"/>
      <c r="E504" s="85"/>
      <c r="F504" s="17"/>
    </row>
    <row r="505" spans="1:6" ht="22.5" customHeight="1" collapsed="1" x14ac:dyDescent="0.2">
      <c r="A505" s="86" t="s">
        <v>542</v>
      </c>
      <c r="B505" s="87"/>
      <c r="C505" s="87"/>
      <c r="D505" s="88"/>
      <c r="E505" s="36"/>
      <c r="F505" s="37">
        <f>SUM(E506:E513)</f>
        <v>0</v>
      </c>
    </row>
    <row r="506" spans="1:6" ht="22.5" hidden="1" customHeight="1" outlineLevel="1" x14ac:dyDescent="0.25">
      <c r="A506" s="33" t="s">
        <v>543</v>
      </c>
      <c r="B506" s="79">
        <v>1.5</v>
      </c>
      <c r="C506" s="79" t="s">
        <v>36</v>
      </c>
      <c r="D506" s="83"/>
      <c r="E506" s="81">
        <f>B506*D506</f>
        <v>0</v>
      </c>
      <c r="F506" s="32"/>
    </row>
    <row r="507" spans="1:6" ht="15.75" hidden="1" customHeight="1" outlineLevel="1" x14ac:dyDescent="0.2">
      <c r="A507" s="35" t="s">
        <v>544</v>
      </c>
      <c r="B507" s="80"/>
      <c r="C507" s="80"/>
      <c r="D507" s="80"/>
      <c r="E507" s="82"/>
      <c r="F507" s="32"/>
    </row>
    <row r="508" spans="1:6" ht="22.5" hidden="1" customHeight="1" outlineLevel="1" x14ac:dyDescent="0.25">
      <c r="A508" s="33" t="s">
        <v>545</v>
      </c>
      <c r="B508" s="79">
        <v>1.25</v>
      </c>
      <c r="C508" s="79" t="s">
        <v>36</v>
      </c>
      <c r="D508" s="83">
        <f>D506</f>
        <v>0</v>
      </c>
      <c r="E508" s="90">
        <f>B508*D508</f>
        <v>0</v>
      </c>
      <c r="F508" s="32"/>
    </row>
    <row r="509" spans="1:6" ht="15.75" hidden="1" customHeight="1" outlineLevel="1" x14ac:dyDescent="0.2">
      <c r="A509" s="35" t="s">
        <v>546</v>
      </c>
      <c r="B509" s="80"/>
      <c r="C509" s="80"/>
      <c r="D509" s="80"/>
      <c r="E509" s="78"/>
      <c r="F509" s="32"/>
    </row>
    <row r="510" spans="1:6" ht="22.5" hidden="1" customHeight="1" outlineLevel="2" x14ac:dyDescent="0.25">
      <c r="A510" s="33" t="s">
        <v>547</v>
      </c>
      <c r="B510" s="79">
        <v>2.75</v>
      </c>
      <c r="C510" s="79" t="s">
        <v>36</v>
      </c>
      <c r="D510" s="83"/>
      <c r="E510" s="90">
        <f>B510*D510</f>
        <v>0</v>
      </c>
      <c r="F510" s="32"/>
    </row>
    <row r="511" spans="1:6" ht="15.75" hidden="1" customHeight="1" outlineLevel="2" x14ac:dyDescent="0.2">
      <c r="A511" s="35" t="s">
        <v>548</v>
      </c>
      <c r="B511" s="80"/>
      <c r="C511" s="80"/>
      <c r="D511" s="80"/>
      <c r="E511" s="78"/>
      <c r="F511" s="32"/>
    </row>
    <row r="512" spans="1:6" ht="22.5" hidden="1" customHeight="1" outlineLevel="2" x14ac:dyDescent="0.25">
      <c r="A512" s="33" t="s">
        <v>549</v>
      </c>
      <c r="B512" s="79">
        <v>1.75</v>
      </c>
      <c r="C512" s="79" t="s">
        <v>36</v>
      </c>
      <c r="D512" s="83">
        <f>D510</f>
        <v>0</v>
      </c>
      <c r="E512" s="90">
        <f>B512*D512</f>
        <v>0</v>
      </c>
      <c r="F512" s="32"/>
    </row>
    <row r="513" spans="1:6" ht="15.75" hidden="1" customHeight="1" outlineLevel="2" x14ac:dyDescent="0.2">
      <c r="A513" s="35" t="s">
        <v>550</v>
      </c>
      <c r="B513" s="80"/>
      <c r="C513" s="80"/>
      <c r="D513" s="80"/>
      <c r="E513" s="78"/>
      <c r="F513" s="32"/>
    </row>
    <row r="514" spans="1:6" ht="11.25" customHeight="1" x14ac:dyDescent="0.2">
      <c r="A514" s="84" t="s">
        <v>12</v>
      </c>
      <c r="B514" s="85"/>
      <c r="C514" s="85"/>
      <c r="D514" s="85"/>
      <c r="E514" s="85"/>
      <c r="F514" s="17"/>
    </row>
    <row r="515" spans="1:6" ht="22.5" customHeight="1" x14ac:dyDescent="0.2">
      <c r="A515" s="127" t="s">
        <v>551</v>
      </c>
      <c r="B515" s="128"/>
      <c r="C515" s="128"/>
      <c r="D515" s="129"/>
      <c r="E515" s="31"/>
      <c r="F515" s="27">
        <f>F516+F547+F560+F581+F594</f>
        <v>0</v>
      </c>
    </row>
    <row r="516" spans="1:6" ht="22.5" customHeight="1" x14ac:dyDescent="0.2">
      <c r="A516" s="89" t="s">
        <v>552</v>
      </c>
      <c r="B516" s="87"/>
      <c r="C516" s="87"/>
      <c r="D516" s="88"/>
      <c r="E516" s="38"/>
      <c r="F516" s="45">
        <f>SUM(E517:E546)</f>
        <v>0</v>
      </c>
    </row>
    <row r="517" spans="1:6" ht="22.5" customHeight="1" outlineLevel="1" x14ac:dyDescent="0.25">
      <c r="A517" s="33" t="s">
        <v>553</v>
      </c>
      <c r="B517" s="79">
        <v>50</v>
      </c>
      <c r="C517" s="79" t="s">
        <v>36</v>
      </c>
      <c r="D517" s="83"/>
      <c r="E517" s="90">
        <f>B517*D517</f>
        <v>0</v>
      </c>
      <c r="F517" s="32"/>
    </row>
    <row r="518" spans="1:6" ht="15.75" customHeight="1" outlineLevel="1" x14ac:dyDescent="0.2">
      <c r="A518" s="35" t="s">
        <v>554</v>
      </c>
      <c r="B518" s="80"/>
      <c r="C518" s="80"/>
      <c r="D518" s="80"/>
      <c r="E518" s="78"/>
      <c r="F518" s="32"/>
    </row>
    <row r="519" spans="1:6" ht="22.5" customHeight="1" outlineLevel="1" x14ac:dyDescent="0.25">
      <c r="A519" s="33" t="s">
        <v>555</v>
      </c>
      <c r="B519" s="79">
        <v>160</v>
      </c>
      <c r="C519" s="79" t="s">
        <v>36</v>
      </c>
      <c r="D519" s="83">
        <f>D517</f>
        <v>0</v>
      </c>
      <c r="E519" s="90">
        <f>B519*D519</f>
        <v>0</v>
      </c>
      <c r="F519" s="32"/>
    </row>
    <row r="520" spans="1:6" ht="15.75" customHeight="1" outlineLevel="1" x14ac:dyDescent="0.2">
      <c r="A520" s="35" t="s">
        <v>556</v>
      </c>
      <c r="B520" s="80"/>
      <c r="C520" s="80"/>
      <c r="D520" s="80"/>
      <c r="E520" s="78"/>
      <c r="F520" s="32"/>
    </row>
    <row r="521" spans="1:6" ht="22.5" customHeight="1" outlineLevel="2" x14ac:dyDescent="0.25">
      <c r="A521" s="33" t="s">
        <v>557</v>
      </c>
      <c r="B521" s="79">
        <v>3</v>
      </c>
      <c r="C521" s="79" t="s">
        <v>15</v>
      </c>
      <c r="D521" s="83"/>
      <c r="E521" s="90">
        <f>B521*D521</f>
        <v>0</v>
      </c>
      <c r="F521" s="32"/>
    </row>
    <row r="522" spans="1:6" ht="15.75" customHeight="1" outlineLevel="2" x14ac:dyDescent="0.2">
      <c r="A522" s="35" t="s">
        <v>558</v>
      </c>
      <c r="B522" s="80"/>
      <c r="C522" s="80"/>
      <c r="D522" s="80"/>
      <c r="E522" s="78"/>
      <c r="F522" s="32"/>
    </row>
    <row r="523" spans="1:6" ht="22.5" customHeight="1" outlineLevel="2" x14ac:dyDescent="0.25">
      <c r="A523" s="33" t="s">
        <v>559</v>
      </c>
      <c r="B523" s="79">
        <v>270</v>
      </c>
      <c r="C523" s="79" t="s">
        <v>36</v>
      </c>
      <c r="D523" s="83"/>
      <c r="E523" s="90">
        <f>B523*D523</f>
        <v>0</v>
      </c>
      <c r="F523" s="32"/>
    </row>
    <row r="524" spans="1:6" ht="15.75" customHeight="1" outlineLevel="2" x14ac:dyDescent="0.2">
      <c r="A524" s="35" t="s">
        <v>560</v>
      </c>
      <c r="B524" s="80"/>
      <c r="C524" s="80"/>
      <c r="D524" s="80"/>
      <c r="E524" s="78"/>
      <c r="F524" s="32"/>
    </row>
    <row r="525" spans="1:6" ht="22.5" customHeight="1" outlineLevel="2" x14ac:dyDescent="0.25">
      <c r="A525" s="33" t="s">
        <v>561</v>
      </c>
      <c r="B525" s="79">
        <v>150</v>
      </c>
      <c r="C525" s="79" t="s">
        <v>15</v>
      </c>
      <c r="D525" s="83"/>
      <c r="E525" s="90">
        <f>B525*D525</f>
        <v>0</v>
      </c>
      <c r="F525" s="32"/>
    </row>
    <row r="526" spans="1:6" ht="15.75" customHeight="1" outlineLevel="2" x14ac:dyDescent="0.2">
      <c r="A526" s="35" t="s">
        <v>562</v>
      </c>
      <c r="B526" s="80"/>
      <c r="C526" s="80"/>
      <c r="D526" s="80"/>
      <c r="E526" s="78"/>
      <c r="F526" s="32"/>
    </row>
    <row r="527" spans="1:6" ht="22.5" customHeight="1" outlineLevel="2" x14ac:dyDescent="0.25">
      <c r="A527" s="33" t="s">
        <v>563</v>
      </c>
      <c r="B527" s="79">
        <v>150</v>
      </c>
      <c r="C527" s="79" t="s">
        <v>15</v>
      </c>
      <c r="D527" s="83"/>
      <c r="E527" s="90">
        <f>B527*D527</f>
        <v>0</v>
      </c>
      <c r="F527" s="32"/>
    </row>
    <row r="528" spans="1:6" ht="15.75" customHeight="1" outlineLevel="2" x14ac:dyDescent="0.2">
      <c r="A528" s="35" t="s">
        <v>564</v>
      </c>
      <c r="B528" s="80"/>
      <c r="C528" s="80"/>
      <c r="D528" s="80"/>
      <c r="E528" s="78"/>
      <c r="F528" s="32"/>
    </row>
    <row r="529" spans="1:6" ht="22.5" customHeight="1" outlineLevel="2" x14ac:dyDescent="0.25">
      <c r="A529" s="33" t="s">
        <v>565</v>
      </c>
      <c r="B529" s="79">
        <v>250</v>
      </c>
      <c r="C529" s="79" t="s">
        <v>15</v>
      </c>
      <c r="D529" s="83"/>
      <c r="E529" s="90">
        <f>B529*D529</f>
        <v>0</v>
      </c>
      <c r="F529" s="32"/>
    </row>
    <row r="530" spans="1:6" ht="15.75" customHeight="1" outlineLevel="2" x14ac:dyDescent="0.2">
      <c r="A530" s="35" t="s">
        <v>564</v>
      </c>
      <c r="B530" s="80"/>
      <c r="C530" s="80"/>
      <c r="D530" s="80"/>
      <c r="E530" s="78"/>
      <c r="F530" s="32"/>
    </row>
    <row r="531" spans="1:6" ht="22.5" customHeight="1" outlineLevel="2" x14ac:dyDescent="0.25">
      <c r="A531" s="33" t="s">
        <v>566</v>
      </c>
      <c r="B531" s="79">
        <v>150</v>
      </c>
      <c r="C531" s="79" t="s">
        <v>15</v>
      </c>
      <c r="D531" s="83"/>
      <c r="E531" s="90">
        <f>B531*D531</f>
        <v>0</v>
      </c>
      <c r="F531" s="32"/>
    </row>
    <row r="532" spans="1:6" ht="15.75" customHeight="1" outlineLevel="2" x14ac:dyDescent="0.2">
      <c r="A532" s="35" t="s">
        <v>564</v>
      </c>
      <c r="B532" s="80"/>
      <c r="C532" s="80"/>
      <c r="D532" s="80"/>
      <c r="E532" s="78"/>
      <c r="F532" s="32"/>
    </row>
    <row r="533" spans="1:6" ht="22.5" customHeight="1" outlineLevel="2" x14ac:dyDescent="0.25">
      <c r="A533" s="33" t="s">
        <v>567</v>
      </c>
      <c r="B533" s="79">
        <v>200</v>
      </c>
      <c r="C533" s="79" t="s">
        <v>15</v>
      </c>
      <c r="D533" s="83"/>
      <c r="E533" s="90">
        <f>B533*D533</f>
        <v>0</v>
      </c>
      <c r="F533" s="32"/>
    </row>
    <row r="534" spans="1:6" ht="15.75" customHeight="1" outlineLevel="2" x14ac:dyDescent="0.2">
      <c r="A534" s="35" t="s">
        <v>564</v>
      </c>
      <c r="B534" s="80"/>
      <c r="C534" s="80"/>
      <c r="D534" s="80"/>
      <c r="E534" s="78"/>
      <c r="F534" s="32"/>
    </row>
    <row r="535" spans="1:6" ht="22.5" customHeight="1" outlineLevel="2" x14ac:dyDescent="0.25">
      <c r="A535" s="33" t="s">
        <v>568</v>
      </c>
      <c r="B535" s="79">
        <v>75</v>
      </c>
      <c r="C535" s="79" t="s">
        <v>15</v>
      </c>
      <c r="D535" s="83"/>
      <c r="E535" s="90">
        <f>B535*D535</f>
        <v>0</v>
      </c>
      <c r="F535" s="32"/>
    </row>
    <row r="536" spans="1:6" ht="15.75" customHeight="1" outlineLevel="2" x14ac:dyDescent="0.2">
      <c r="A536" s="35" t="s">
        <v>569</v>
      </c>
      <c r="B536" s="80"/>
      <c r="C536" s="80"/>
      <c r="D536" s="80"/>
      <c r="E536" s="78"/>
      <c r="F536" s="32"/>
    </row>
    <row r="537" spans="1:6" ht="22.5" customHeight="1" outlineLevel="2" x14ac:dyDescent="0.25">
      <c r="A537" s="33" t="s">
        <v>570</v>
      </c>
      <c r="B537" s="79">
        <v>95</v>
      </c>
      <c r="C537" s="79" t="s">
        <v>15</v>
      </c>
      <c r="D537" s="83"/>
      <c r="E537" s="90">
        <f>B537*D537</f>
        <v>0</v>
      </c>
      <c r="F537" s="32"/>
    </row>
    <row r="538" spans="1:6" ht="15.75" customHeight="1" outlineLevel="2" x14ac:dyDescent="0.2">
      <c r="A538" s="35" t="s">
        <v>571</v>
      </c>
      <c r="B538" s="80"/>
      <c r="C538" s="80"/>
      <c r="D538" s="80"/>
      <c r="E538" s="78"/>
      <c r="F538" s="32"/>
    </row>
    <row r="539" spans="1:6" ht="22.5" customHeight="1" outlineLevel="2" x14ac:dyDescent="0.25">
      <c r="A539" s="33" t="s">
        <v>572</v>
      </c>
      <c r="B539" s="79">
        <v>100</v>
      </c>
      <c r="C539" s="79" t="s">
        <v>15</v>
      </c>
      <c r="D539" s="83"/>
      <c r="E539" s="90">
        <f>B539*D539</f>
        <v>0</v>
      </c>
      <c r="F539" s="32"/>
    </row>
    <row r="540" spans="1:6" ht="15.75" customHeight="1" outlineLevel="2" x14ac:dyDescent="0.2">
      <c r="A540" s="35" t="s">
        <v>573</v>
      </c>
      <c r="B540" s="80"/>
      <c r="C540" s="80"/>
      <c r="D540" s="80"/>
      <c r="E540" s="78"/>
      <c r="F540" s="32"/>
    </row>
    <row r="541" spans="1:6" ht="22.5" customHeight="1" outlineLevel="2" x14ac:dyDescent="0.25">
      <c r="A541" s="33" t="s">
        <v>574</v>
      </c>
      <c r="B541" s="79">
        <v>200</v>
      </c>
      <c r="C541" s="79" t="s">
        <v>15</v>
      </c>
      <c r="D541" s="83"/>
      <c r="E541" s="90">
        <f>B541*D541</f>
        <v>0</v>
      </c>
      <c r="F541" s="32"/>
    </row>
    <row r="542" spans="1:6" ht="15.75" customHeight="1" outlineLevel="2" x14ac:dyDescent="0.2">
      <c r="A542" s="35" t="s">
        <v>575</v>
      </c>
      <c r="B542" s="80"/>
      <c r="C542" s="80"/>
      <c r="D542" s="80"/>
      <c r="E542" s="78"/>
      <c r="F542" s="32"/>
    </row>
    <row r="543" spans="1:6" ht="22.5" customHeight="1" outlineLevel="2" x14ac:dyDescent="0.25">
      <c r="A543" s="33" t="s">
        <v>576</v>
      </c>
      <c r="B543" s="79">
        <v>50</v>
      </c>
      <c r="C543" s="79" t="s">
        <v>15</v>
      </c>
      <c r="D543" s="83"/>
      <c r="E543" s="90">
        <f>B543*D543</f>
        <v>0</v>
      </c>
      <c r="F543" s="32"/>
    </row>
    <row r="544" spans="1:6" ht="15.75" customHeight="1" outlineLevel="2" x14ac:dyDescent="0.2">
      <c r="A544" s="35" t="s">
        <v>577</v>
      </c>
      <c r="B544" s="80"/>
      <c r="C544" s="80"/>
      <c r="D544" s="80"/>
      <c r="E544" s="78"/>
      <c r="F544" s="32"/>
    </row>
    <row r="545" spans="1:6" ht="22.5" customHeight="1" outlineLevel="2" x14ac:dyDescent="0.25">
      <c r="A545" s="33" t="s">
        <v>578</v>
      </c>
      <c r="B545" s="79">
        <v>100</v>
      </c>
      <c r="C545" s="79" t="s">
        <v>15</v>
      </c>
      <c r="D545" s="83"/>
      <c r="E545" s="90">
        <f>B545*D545</f>
        <v>0</v>
      </c>
      <c r="F545" s="32"/>
    </row>
    <row r="546" spans="1:6" ht="15.75" customHeight="1" outlineLevel="2" x14ac:dyDescent="0.2">
      <c r="A546" s="35" t="s">
        <v>579</v>
      </c>
      <c r="B546" s="80"/>
      <c r="C546" s="80"/>
      <c r="D546" s="80"/>
      <c r="E546" s="78"/>
      <c r="F546" s="32"/>
    </row>
    <row r="547" spans="1:6" ht="22.5" customHeight="1" collapsed="1" x14ac:dyDescent="0.2">
      <c r="A547" s="89" t="s">
        <v>580</v>
      </c>
      <c r="B547" s="87"/>
      <c r="C547" s="87"/>
      <c r="D547" s="88"/>
      <c r="E547" s="38"/>
      <c r="F547" s="45">
        <f>SUM(E548:E559)</f>
        <v>0</v>
      </c>
    </row>
    <row r="548" spans="1:6" ht="22.5" hidden="1" customHeight="1" outlineLevel="1" x14ac:dyDescent="0.25">
      <c r="A548" s="33" t="s">
        <v>581</v>
      </c>
      <c r="B548" s="79">
        <v>28</v>
      </c>
      <c r="C548" s="79" t="s">
        <v>38</v>
      </c>
      <c r="D548" s="83"/>
      <c r="E548" s="81">
        <f>B548*D548</f>
        <v>0</v>
      </c>
      <c r="F548" s="32"/>
    </row>
    <row r="549" spans="1:6" ht="15.75" hidden="1" customHeight="1" outlineLevel="1" x14ac:dyDescent="0.2">
      <c r="A549" s="35" t="s">
        <v>582</v>
      </c>
      <c r="B549" s="80"/>
      <c r="C549" s="80"/>
      <c r="D549" s="80"/>
      <c r="E549" s="82"/>
      <c r="F549" s="32"/>
    </row>
    <row r="550" spans="1:6" ht="22.5" hidden="1" customHeight="1" outlineLevel="2" x14ac:dyDescent="0.25">
      <c r="A550" s="33" t="s">
        <v>583</v>
      </c>
      <c r="B550" s="79">
        <v>36</v>
      </c>
      <c r="C550" s="79" t="s">
        <v>38</v>
      </c>
      <c r="D550" s="83"/>
      <c r="E550" s="81">
        <f>B550*D550</f>
        <v>0</v>
      </c>
      <c r="F550" s="32"/>
    </row>
    <row r="551" spans="1:6" ht="15.75" hidden="1" customHeight="1" outlineLevel="2" x14ac:dyDescent="0.2">
      <c r="A551" s="35" t="s">
        <v>584</v>
      </c>
      <c r="B551" s="80"/>
      <c r="C551" s="80"/>
      <c r="D551" s="80"/>
      <c r="E551" s="82"/>
      <c r="F551" s="32"/>
    </row>
    <row r="552" spans="1:6" ht="22.5" hidden="1" customHeight="1" outlineLevel="1" x14ac:dyDescent="0.25">
      <c r="A552" s="33" t="s">
        <v>585</v>
      </c>
      <c r="B552" s="79">
        <v>6</v>
      </c>
      <c r="C552" s="79" t="s">
        <v>38</v>
      </c>
      <c r="D552" s="83">
        <f>D548*1.2</f>
        <v>0</v>
      </c>
      <c r="E552" s="81">
        <f>B552*D552</f>
        <v>0</v>
      </c>
      <c r="F552" s="32"/>
    </row>
    <row r="553" spans="1:6" ht="15.75" hidden="1" customHeight="1" outlineLevel="1" x14ac:dyDescent="0.2">
      <c r="A553" s="35" t="s">
        <v>586</v>
      </c>
      <c r="B553" s="80"/>
      <c r="C553" s="80"/>
      <c r="D553" s="80"/>
      <c r="E553" s="82"/>
      <c r="F553" s="32"/>
    </row>
    <row r="554" spans="1:6" ht="22.5" hidden="1" customHeight="1" outlineLevel="2" x14ac:dyDescent="0.25">
      <c r="A554" s="33" t="s">
        <v>587</v>
      </c>
      <c r="B554" s="79">
        <v>15</v>
      </c>
      <c r="C554" s="79" t="s">
        <v>38</v>
      </c>
      <c r="D554" s="83"/>
      <c r="E554" s="81">
        <f>B554*D554</f>
        <v>0</v>
      </c>
      <c r="F554" s="32"/>
    </row>
    <row r="555" spans="1:6" ht="15.75" hidden="1" customHeight="1" outlineLevel="2" x14ac:dyDescent="0.2">
      <c r="A555" s="35" t="s">
        <v>588</v>
      </c>
      <c r="B555" s="80"/>
      <c r="C555" s="80"/>
      <c r="D555" s="80"/>
      <c r="E555" s="82"/>
      <c r="F555" s="32"/>
    </row>
    <row r="556" spans="1:6" ht="22.5" hidden="1" customHeight="1" outlineLevel="2" x14ac:dyDescent="0.25">
      <c r="A556" s="33" t="s">
        <v>589</v>
      </c>
      <c r="B556" s="79">
        <v>20</v>
      </c>
      <c r="C556" s="79" t="s">
        <v>38</v>
      </c>
      <c r="D556" s="83"/>
      <c r="E556" s="81">
        <f>B556*D556</f>
        <v>0</v>
      </c>
      <c r="F556" s="32"/>
    </row>
    <row r="557" spans="1:6" ht="15.75" hidden="1" customHeight="1" outlineLevel="2" x14ac:dyDescent="0.2">
      <c r="A557" s="35" t="s">
        <v>590</v>
      </c>
      <c r="B557" s="80"/>
      <c r="C557" s="80"/>
      <c r="D557" s="80"/>
      <c r="E557" s="82"/>
      <c r="F557" s="32"/>
    </row>
    <row r="558" spans="1:6" ht="22.5" hidden="1" customHeight="1" outlineLevel="2" x14ac:dyDescent="0.25">
      <c r="A558" s="33" t="s">
        <v>591</v>
      </c>
      <c r="B558" s="79">
        <v>150</v>
      </c>
      <c r="C558" s="79" t="s">
        <v>15</v>
      </c>
      <c r="D558" s="83"/>
      <c r="E558" s="81">
        <f>B558*D558</f>
        <v>0</v>
      </c>
      <c r="F558" s="32"/>
    </row>
    <row r="559" spans="1:6" ht="15.75" hidden="1" customHeight="1" outlineLevel="2" x14ac:dyDescent="0.2">
      <c r="A559" s="35" t="s">
        <v>592</v>
      </c>
      <c r="B559" s="80"/>
      <c r="C559" s="80"/>
      <c r="D559" s="80"/>
      <c r="E559" s="82"/>
      <c r="F559" s="32"/>
    </row>
    <row r="560" spans="1:6" ht="22.5" customHeight="1" collapsed="1" x14ac:dyDescent="0.2">
      <c r="A560" s="89" t="s">
        <v>593</v>
      </c>
      <c r="B560" s="87"/>
      <c r="C560" s="87"/>
      <c r="D560" s="88"/>
      <c r="E560" s="38"/>
      <c r="F560" s="45">
        <f>SUM(E561:E580)</f>
        <v>0</v>
      </c>
    </row>
    <row r="561" spans="1:6" ht="22.5" hidden="1" customHeight="1" outlineLevel="1" x14ac:dyDescent="0.25">
      <c r="A561" s="33" t="s">
        <v>594</v>
      </c>
      <c r="B561" s="79">
        <v>25</v>
      </c>
      <c r="C561" s="79" t="s">
        <v>38</v>
      </c>
      <c r="D561" s="83"/>
      <c r="E561" s="81">
        <f>B561*D561</f>
        <v>0</v>
      </c>
      <c r="F561" s="76" t="s">
        <v>595</v>
      </c>
    </row>
    <row r="562" spans="1:6" ht="15.75" hidden="1" customHeight="1" outlineLevel="1" x14ac:dyDescent="0.2">
      <c r="A562" s="35" t="s">
        <v>596</v>
      </c>
      <c r="B562" s="80"/>
      <c r="C562" s="80"/>
      <c r="D562" s="80"/>
      <c r="E562" s="82"/>
      <c r="F562" s="77"/>
    </row>
    <row r="563" spans="1:6" ht="22.5" hidden="1" customHeight="1" outlineLevel="1" x14ac:dyDescent="0.25">
      <c r="A563" s="33" t="s">
        <v>597</v>
      </c>
      <c r="B563" s="79">
        <v>250</v>
      </c>
      <c r="C563" s="79" t="s">
        <v>15</v>
      </c>
      <c r="D563" s="83"/>
      <c r="E563" s="81">
        <f>B563*D563</f>
        <v>0</v>
      </c>
      <c r="F563" s="77"/>
    </row>
    <row r="564" spans="1:6" ht="15.75" hidden="1" customHeight="1" outlineLevel="1" x14ac:dyDescent="0.2">
      <c r="A564" s="35" t="s">
        <v>598</v>
      </c>
      <c r="B564" s="80"/>
      <c r="C564" s="80"/>
      <c r="D564" s="80"/>
      <c r="E564" s="82"/>
      <c r="F564" s="78"/>
    </row>
    <row r="565" spans="1:6" ht="22.5" hidden="1" customHeight="1" outlineLevel="2" x14ac:dyDescent="0.25">
      <c r="A565" s="33" t="s">
        <v>599</v>
      </c>
      <c r="B565" s="79">
        <v>300</v>
      </c>
      <c r="C565" s="79" t="s">
        <v>15</v>
      </c>
      <c r="D565" s="83"/>
      <c r="E565" s="81">
        <f>B565*D565</f>
        <v>0</v>
      </c>
      <c r="F565" s="32"/>
    </row>
    <row r="566" spans="1:6" ht="15.75" hidden="1" customHeight="1" outlineLevel="2" x14ac:dyDescent="0.2">
      <c r="A566" s="35" t="s">
        <v>600</v>
      </c>
      <c r="B566" s="80"/>
      <c r="C566" s="80"/>
      <c r="D566" s="80"/>
      <c r="E566" s="82"/>
      <c r="F566" s="32"/>
    </row>
    <row r="567" spans="1:6" ht="22.5" hidden="1" customHeight="1" outlineLevel="1" x14ac:dyDescent="0.25">
      <c r="A567" s="33" t="s">
        <v>601</v>
      </c>
      <c r="B567" s="79">
        <v>500</v>
      </c>
      <c r="C567" s="79" t="s">
        <v>15</v>
      </c>
      <c r="D567" s="83"/>
      <c r="E567" s="81">
        <f>B567*D567</f>
        <v>0</v>
      </c>
      <c r="F567" s="32"/>
    </row>
    <row r="568" spans="1:6" ht="15.75" hidden="1" customHeight="1" outlineLevel="1" x14ac:dyDescent="0.2">
      <c r="A568" s="35" t="s">
        <v>602</v>
      </c>
      <c r="B568" s="80"/>
      <c r="C568" s="80"/>
      <c r="D568" s="80"/>
      <c r="E568" s="82"/>
      <c r="F568" s="32"/>
    </row>
    <row r="569" spans="1:6" ht="22.5" hidden="1" customHeight="1" outlineLevel="2" x14ac:dyDescent="0.25">
      <c r="A569" s="33" t="s">
        <v>603</v>
      </c>
      <c r="B569" s="79">
        <v>650</v>
      </c>
      <c r="C569" s="79" t="s">
        <v>15</v>
      </c>
      <c r="D569" s="83"/>
      <c r="E569" s="81">
        <f>B569*D569</f>
        <v>0</v>
      </c>
      <c r="F569" s="32"/>
    </row>
    <row r="570" spans="1:6" ht="15.75" hidden="1" customHeight="1" outlineLevel="2" x14ac:dyDescent="0.2">
      <c r="A570" s="35" t="s">
        <v>604</v>
      </c>
      <c r="B570" s="80"/>
      <c r="C570" s="80"/>
      <c r="D570" s="80"/>
      <c r="E570" s="82"/>
      <c r="F570" s="32"/>
    </row>
    <row r="571" spans="1:6" ht="22.5" hidden="1" customHeight="1" outlineLevel="3" x14ac:dyDescent="0.25">
      <c r="A571" s="33" t="s">
        <v>605</v>
      </c>
      <c r="B571" s="79">
        <v>850</v>
      </c>
      <c r="C571" s="79" t="s">
        <v>15</v>
      </c>
      <c r="D571" s="83"/>
      <c r="E571" s="81">
        <f>B571*D571</f>
        <v>0</v>
      </c>
      <c r="F571" s="32"/>
    </row>
    <row r="572" spans="1:6" ht="15.75" hidden="1" customHeight="1" outlineLevel="3" x14ac:dyDescent="0.2">
      <c r="A572" s="35" t="s">
        <v>606</v>
      </c>
      <c r="B572" s="80"/>
      <c r="C572" s="80"/>
      <c r="D572" s="80"/>
      <c r="E572" s="82"/>
      <c r="F572" s="32"/>
    </row>
    <row r="573" spans="1:6" ht="22.5" hidden="1" customHeight="1" outlineLevel="3" x14ac:dyDescent="0.25">
      <c r="A573" s="33" t="s">
        <v>607</v>
      </c>
      <c r="B573" s="79">
        <v>1000</v>
      </c>
      <c r="C573" s="79" t="s">
        <v>15</v>
      </c>
      <c r="D573" s="83"/>
      <c r="E573" s="81">
        <f>B573*D573</f>
        <v>0</v>
      </c>
      <c r="F573" s="32"/>
    </row>
    <row r="574" spans="1:6" ht="15.75" hidden="1" customHeight="1" outlineLevel="3" x14ac:dyDescent="0.2">
      <c r="A574" s="35" t="s">
        <v>608</v>
      </c>
      <c r="B574" s="80"/>
      <c r="C574" s="80"/>
      <c r="D574" s="80"/>
      <c r="E574" s="82"/>
      <c r="F574" s="32"/>
    </row>
    <row r="575" spans="1:6" ht="22.5" hidden="1" customHeight="1" outlineLevel="3" x14ac:dyDescent="0.25">
      <c r="A575" s="33" t="s">
        <v>591</v>
      </c>
      <c r="B575" s="79">
        <v>150</v>
      </c>
      <c r="C575" s="79" t="s">
        <v>15</v>
      </c>
      <c r="D575" s="83"/>
      <c r="E575" s="81">
        <f>B575*D575</f>
        <v>0</v>
      </c>
      <c r="F575" s="32"/>
    </row>
    <row r="576" spans="1:6" ht="15.75" hidden="1" customHeight="1" outlineLevel="3" x14ac:dyDescent="0.2">
      <c r="A576" s="35" t="s">
        <v>592</v>
      </c>
      <c r="B576" s="80"/>
      <c r="C576" s="80"/>
      <c r="D576" s="80"/>
      <c r="E576" s="82"/>
      <c r="F576" s="32"/>
    </row>
    <row r="577" spans="1:6" ht="22.5" hidden="1" customHeight="1" outlineLevel="2" x14ac:dyDescent="0.25">
      <c r="A577" s="33" t="s">
        <v>609</v>
      </c>
      <c r="B577" s="79">
        <v>30</v>
      </c>
      <c r="C577" s="79" t="s">
        <v>36</v>
      </c>
      <c r="D577" s="83"/>
      <c r="E577" s="81">
        <f>B577*D577</f>
        <v>0</v>
      </c>
      <c r="F577" s="32"/>
    </row>
    <row r="578" spans="1:6" ht="15.75" hidden="1" customHeight="1" outlineLevel="2" x14ac:dyDescent="0.2">
      <c r="A578" s="35" t="s">
        <v>610</v>
      </c>
      <c r="B578" s="80"/>
      <c r="C578" s="80"/>
      <c r="D578" s="80"/>
      <c r="E578" s="82"/>
      <c r="F578" s="32"/>
    </row>
    <row r="579" spans="1:6" ht="22.5" hidden="1" customHeight="1" outlineLevel="2" x14ac:dyDescent="0.25">
      <c r="A579" s="33" t="s">
        <v>611</v>
      </c>
      <c r="B579" s="79">
        <v>65</v>
      </c>
      <c r="C579" s="79" t="s">
        <v>36</v>
      </c>
      <c r="D579" s="83"/>
      <c r="E579" s="81">
        <f>B579*D579</f>
        <v>0</v>
      </c>
      <c r="F579" s="32"/>
    </row>
    <row r="580" spans="1:6" ht="15.75" hidden="1" customHeight="1" outlineLevel="2" x14ac:dyDescent="0.2">
      <c r="A580" s="35" t="s">
        <v>612</v>
      </c>
      <c r="B580" s="80"/>
      <c r="C580" s="80"/>
      <c r="D580" s="80"/>
      <c r="E580" s="82"/>
      <c r="F580" s="32"/>
    </row>
    <row r="581" spans="1:6" ht="22.5" customHeight="1" collapsed="1" x14ac:dyDescent="0.2">
      <c r="A581" s="89" t="s">
        <v>613</v>
      </c>
      <c r="B581" s="87"/>
      <c r="C581" s="87"/>
      <c r="D581" s="88"/>
      <c r="E581" s="38"/>
      <c r="F581" s="45">
        <f>SUM(E582:E593)</f>
        <v>0</v>
      </c>
    </row>
    <row r="582" spans="1:6" ht="22.5" hidden="1" customHeight="1" outlineLevel="1" x14ac:dyDescent="0.25">
      <c r="A582" s="33" t="s">
        <v>614</v>
      </c>
      <c r="B582" s="79">
        <v>100</v>
      </c>
      <c r="C582" s="79" t="s">
        <v>15</v>
      </c>
      <c r="D582" s="83"/>
      <c r="E582" s="81">
        <f>B582*D582</f>
        <v>0</v>
      </c>
      <c r="F582" s="32"/>
    </row>
    <row r="583" spans="1:6" ht="15.75" hidden="1" customHeight="1" outlineLevel="1" x14ac:dyDescent="0.2">
      <c r="A583" s="35" t="s">
        <v>615</v>
      </c>
      <c r="B583" s="80"/>
      <c r="C583" s="80"/>
      <c r="D583" s="80"/>
      <c r="E583" s="82"/>
      <c r="F583" s="32"/>
    </row>
    <row r="584" spans="1:6" ht="22.5" hidden="1" customHeight="1" outlineLevel="1" x14ac:dyDescent="0.25">
      <c r="A584" s="33" t="s">
        <v>616</v>
      </c>
      <c r="B584" s="79">
        <v>100</v>
      </c>
      <c r="C584" s="79" t="s">
        <v>15</v>
      </c>
      <c r="D584" s="83"/>
      <c r="E584" s="81">
        <f>B584*D584</f>
        <v>0</v>
      </c>
      <c r="F584" s="32"/>
    </row>
    <row r="585" spans="1:6" ht="15.75" hidden="1" customHeight="1" outlineLevel="1" x14ac:dyDescent="0.2">
      <c r="A585" s="35" t="s">
        <v>617</v>
      </c>
      <c r="B585" s="80"/>
      <c r="C585" s="80"/>
      <c r="D585" s="80"/>
      <c r="E585" s="82"/>
      <c r="F585" s="32"/>
    </row>
    <row r="586" spans="1:6" ht="22.5" hidden="1" customHeight="1" outlineLevel="2" x14ac:dyDescent="0.25">
      <c r="A586" s="33" t="s">
        <v>618</v>
      </c>
      <c r="B586" s="79">
        <v>100</v>
      </c>
      <c r="C586" s="79" t="s">
        <v>15</v>
      </c>
      <c r="D586" s="83"/>
      <c r="E586" s="81">
        <f>B586*D586</f>
        <v>0</v>
      </c>
      <c r="F586" s="32"/>
    </row>
    <row r="587" spans="1:6" ht="15.75" hidden="1" customHeight="1" outlineLevel="2" x14ac:dyDescent="0.2">
      <c r="A587" s="35" t="s">
        <v>615</v>
      </c>
      <c r="B587" s="80"/>
      <c r="C587" s="80"/>
      <c r="D587" s="80"/>
      <c r="E587" s="82"/>
      <c r="F587" s="32"/>
    </row>
    <row r="588" spans="1:6" ht="22.5" hidden="1" customHeight="1" outlineLevel="2" x14ac:dyDescent="0.25">
      <c r="A588" s="33" t="s">
        <v>619</v>
      </c>
      <c r="B588" s="79">
        <v>300</v>
      </c>
      <c r="C588" s="79" t="s">
        <v>15</v>
      </c>
      <c r="D588" s="83"/>
      <c r="E588" s="81">
        <f>B588*D588</f>
        <v>0</v>
      </c>
      <c r="F588" s="32"/>
    </row>
    <row r="589" spans="1:6" ht="15.75" hidden="1" customHeight="1" outlineLevel="2" x14ac:dyDescent="0.2">
      <c r="A589" s="35" t="s">
        <v>620</v>
      </c>
      <c r="B589" s="80"/>
      <c r="C589" s="80"/>
      <c r="D589" s="80"/>
      <c r="E589" s="82"/>
      <c r="F589" s="32"/>
    </row>
    <row r="590" spans="1:6" ht="22.5" hidden="1" customHeight="1" outlineLevel="2" x14ac:dyDescent="0.25">
      <c r="A590" s="33" t="s">
        <v>621</v>
      </c>
      <c r="B590" s="79">
        <v>100</v>
      </c>
      <c r="C590" s="79" t="s">
        <v>15</v>
      </c>
      <c r="D590" s="83"/>
      <c r="E590" s="81">
        <f>B590*D590</f>
        <v>0</v>
      </c>
      <c r="F590" s="32"/>
    </row>
    <row r="591" spans="1:6" ht="15.75" hidden="1" customHeight="1" outlineLevel="2" x14ac:dyDescent="0.2">
      <c r="A591" s="35" t="s">
        <v>622</v>
      </c>
      <c r="B591" s="80"/>
      <c r="C591" s="80"/>
      <c r="D591" s="80"/>
      <c r="E591" s="82"/>
      <c r="F591" s="32"/>
    </row>
    <row r="592" spans="1:6" ht="22.5" hidden="1" customHeight="1" outlineLevel="2" x14ac:dyDescent="0.25">
      <c r="A592" s="33" t="s">
        <v>623</v>
      </c>
      <c r="B592" s="79">
        <v>100</v>
      </c>
      <c r="C592" s="79" t="s">
        <v>15</v>
      </c>
      <c r="D592" s="83"/>
      <c r="E592" s="81">
        <f>B592*D592</f>
        <v>0</v>
      </c>
      <c r="F592" s="32"/>
    </row>
    <row r="593" spans="1:6" ht="15.75" hidden="1" customHeight="1" outlineLevel="2" x14ac:dyDescent="0.2">
      <c r="A593" s="35" t="s">
        <v>624</v>
      </c>
      <c r="B593" s="80"/>
      <c r="C593" s="80"/>
      <c r="D593" s="80"/>
      <c r="E593" s="82"/>
      <c r="F593" s="32"/>
    </row>
    <row r="594" spans="1:6" ht="22.5" customHeight="1" collapsed="1" x14ac:dyDescent="0.2">
      <c r="A594" s="89" t="s">
        <v>625</v>
      </c>
      <c r="B594" s="87"/>
      <c r="C594" s="87"/>
      <c r="D594" s="88"/>
      <c r="E594" s="38"/>
      <c r="F594" s="45">
        <f>SUM(E595:E640)</f>
        <v>0</v>
      </c>
    </row>
    <row r="595" spans="1:6" ht="22.5" hidden="1" customHeight="1" outlineLevel="1" x14ac:dyDescent="0.25">
      <c r="A595" s="33" t="s">
        <v>626</v>
      </c>
      <c r="B595" s="79">
        <v>150</v>
      </c>
      <c r="C595" s="79" t="s">
        <v>15</v>
      </c>
      <c r="D595" s="83"/>
      <c r="E595" s="81">
        <f>B595*D595</f>
        <v>0</v>
      </c>
      <c r="F595" s="32"/>
    </row>
    <row r="596" spans="1:6" ht="15.75" hidden="1" customHeight="1" outlineLevel="1" x14ac:dyDescent="0.2">
      <c r="A596" s="35" t="s">
        <v>627</v>
      </c>
      <c r="B596" s="80"/>
      <c r="C596" s="80"/>
      <c r="D596" s="80"/>
      <c r="E596" s="82"/>
      <c r="F596" s="32"/>
    </row>
    <row r="597" spans="1:6" ht="22.5" hidden="1" customHeight="1" outlineLevel="1" x14ac:dyDescent="0.25">
      <c r="A597" s="33" t="s">
        <v>628</v>
      </c>
      <c r="B597" s="79">
        <v>500</v>
      </c>
      <c r="C597" s="79" t="s">
        <v>15</v>
      </c>
      <c r="D597" s="83"/>
      <c r="E597" s="81">
        <f>B597*D597</f>
        <v>0</v>
      </c>
      <c r="F597" s="32"/>
    </row>
    <row r="598" spans="1:6" ht="15.75" hidden="1" customHeight="1" outlineLevel="1" x14ac:dyDescent="0.2">
      <c r="A598" s="35" t="s">
        <v>629</v>
      </c>
      <c r="B598" s="80"/>
      <c r="C598" s="80"/>
      <c r="D598" s="80"/>
      <c r="E598" s="82"/>
      <c r="F598" s="32"/>
    </row>
    <row r="599" spans="1:6" ht="22.5" hidden="1" customHeight="1" outlineLevel="2" x14ac:dyDescent="0.25">
      <c r="A599" s="33" t="s">
        <v>630</v>
      </c>
      <c r="B599" s="79">
        <v>100</v>
      </c>
      <c r="C599" s="79" t="s">
        <v>15</v>
      </c>
      <c r="D599" s="83"/>
      <c r="E599" s="81">
        <f>B599*D599</f>
        <v>0</v>
      </c>
      <c r="F599" s="32"/>
    </row>
    <row r="600" spans="1:6" ht="15.75" hidden="1" customHeight="1" outlineLevel="2" x14ac:dyDescent="0.2">
      <c r="A600" s="35" t="s">
        <v>631</v>
      </c>
      <c r="B600" s="80"/>
      <c r="C600" s="80"/>
      <c r="D600" s="80"/>
      <c r="E600" s="82"/>
      <c r="F600" s="32"/>
    </row>
    <row r="601" spans="1:6" ht="22.5" hidden="1" customHeight="1" outlineLevel="2" x14ac:dyDescent="0.25">
      <c r="A601" s="33" t="s">
        <v>632</v>
      </c>
      <c r="B601" s="79">
        <v>750</v>
      </c>
      <c r="C601" s="79" t="s">
        <v>15</v>
      </c>
      <c r="D601" s="83"/>
      <c r="E601" s="81">
        <f>B601*D601</f>
        <v>0</v>
      </c>
      <c r="F601" s="32"/>
    </row>
    <row r="602" spans="1:6" ht="15.75" hidden="1" customHeight="1" outlineLevel="2" x14ac:dyDescent="0.2">
      <c r="A602" s="35" t="s">
        <v>633</v>
      </c>
      <c r="B602" s="80"/>
      <c r="C602" s="80"/>
      <c r="D602" s="80"/>
      <c r="E602" s="82"/>
      <c r="F602" s="32"/>
    </row>
    <row r="603" spans="1:6" ht="22.5" hidden="1" customHeight="1" outlineLevel="1" x14ac:dyDescent="0.25">
      <c r="A603" s="33" t="s">
        <v>634</v>
      </c>
      <c r="B603" s="79">
        <v>100</v>
      </c>
      <c r="C603" s="79" t="s">
        <v>15</v>
      </c>
      <c r="D603" s="83"/>
      <c r="E603" s="81">
        <f>B603*D603</f>
        <v>0</v>
      </c>
      <c r="F603" s="32"/>
    </row>
    <row r="604" spans="1:6" ht="15.75" hidden="1" customHeight="1" outlineLevel="1" x14ac:dyDescent="0.2">
      <c r="A604" s="35" t="s">
        <v>635</v>
      </c>
      <c r="B604" s="80"/>
      <c r="C604" s="80"/>
      <c r="D604" s="80"/>
      <c r="E604" s="82"/>
      <c r="F604" s="32"/>
    </row>
    <row r="605" spans="1:6" ht="22.5" hidden="1" customHeight="1" outlineLevel="1" x14ac:dyDescent="0.25">
      <c r="A605" s="33" t="s">
        <v>636</v>
      </c>
      <c r="B605" s="79">
        <v>750</v>
      </c>
      <c r="C605" s="79" t="s">
        <v>15</v>
      </c>
      <c r="D605" s="83"/>
      <c r="E605" s="81">
        <f>B605*D605</f>
        <v>0</v>
      </c>
      <c r="F605" s="32"/>
    </row>
    <row r="606" spans="1:6" ht="15.75" hidden="1" customHeight="1" outlineLevel="1" x14ac:dyDescent="0.2">
      <c r="A606" s="35" t="s">
        <v>637</v>
      </c>
      <c r="B606" s="80"/>
      <c r="C606" s="80"/>
      <c r="D606" s="80"/>
      <c r="E606" s="82"/>
      <c r="F606" s="32"/>
    </row>
    <row r="607" spans="1:6" ht="22.5" hidden="1" customHeight="1" outlineLevel="1" x14ac:dyDescent="0.25">
      <c r="A607" s="33" t="s">
        <v>638</v>
      </c>
      <c r="B607" s="79">
        <v>75</v>
      </c>
      <c r="C607" s="79" t="s">
        <v>15</v>
      </c>
      <c r="D607" s="83"/>
      <c r="E607" s="81">
        <f>B607*D607</f>
        <v>0</v>
      </c>
      <c r="F607" s="32"/>
    </row>
    <row r="608" spans="1:6" ht="15.75" hidden="1" customHeight="1" outlineLevel="1" x14ac:dyDescent="0.2">
      <c r="A608" s="35" t="s">
        <v>639</v>
      </c>
      <c r="B608" s="80"/>
      <c r="C608" s="80"/>
      <c r="D608" s="80"/>
      <c r="E608" s="82"/>
      <c r="F608" s="32"/>
    </row>
    <row r="609" spans="1:6" ht="22.5" hidden="1" customHeight="1" outlineLevel="1" x14ac:dyDescent="0.25">
      <c r="A609" s="33" t="s">
        <v>640</v>
      </c>
      <c r="B609" s="79">
        <v>1600</v>
      </c>
      <c r="C609" s="79" t="s">
        <v>15</v>
      </c>
      <c r="D609" s="83"/>
      <c r="E609" s="81">
        <f>B609*D609</f>
        <v>0</v>
      </c>
      <c r="F609" s="32"/>
    </row>
    <row r="610" spans="1:6" ht="15.75" hidden="1" customHeight="1" outlineLevel="1" x14ac:dyDescent="0.2">
      <c r="A610" s="35" t="s">
        <v>641</v>
      </c>
      <c r="B610" s="80"/>
      <c r="C610" s="80"/>
      <c r="D610" s="80"/>
      <c r="E610" s="82"/>
      <c r="F610" s="32"/>
    </row>
    <row r="611" spans="1:6" ht="22.5" hidden="1" customHeight="1" outlineLevel="1" x14ac:dyDescent="0.25">
      <c r="A611" s="33" t="s">
        <v>642</v>
      </c>
      <c r="B611" s="79">
        <v>150</v>
      </c>
      <c r="C611" s="79" t="s">
        <v>15</v>
      </c>
      <c r="D611" s="83"/>
      <c r="E611" s="81">
        <f>B611*D611</f>
        <v>0</v>
      </c>
      <c r="F611" s="32"/>
    </row>
    <row r="612" spans="1:6" ht="15.75" hidden="1" customHeight="1" outlineLevel="1" x14ac:dyDescent="0.2">
      <c r="A612" s="35" t="s">
        <v>643</v>
      </c>
      <c r="B612" s="80"/>
      <c r="C612" s="80"/>
      <c r="D612" s="80"/>
      <c r="E612" s="82"/>
      <c r="F612" s="32"/>
    </row>
    <row r="613" spans="1:6" ht="22.5" hidden="1" customHeight="1" outlineLevel="1" x14ac:dyDescent="0.25">
      <c r="A613" s="33" t="s">
        <v>644</v>
      </c>
      <c r="B613" s="79">
        <v>300</v>
      </c>
      <c r="C613" s="79" t="s">
        <v>15</v>
      </c>
      <c r="D613" s="83"/>
      <c r="E613" s="81">
        <f>B613*D613</f>
        <v>0</v>
      </c>
      <c r="F613" s="32"/>
    </row>
    <row r="614" spans="1:6" ht="15.75" hidden="1" customHeight="1" outlineLevel="1" x14ac:dyDescent="0.2">
      <c r="A614" s="35" t="s">
        <v>645</v>
      </c>
      <c r="B614" s="80"/>
      <c r="C614" s="80"/>
      <c r="D614" s="80"/>
      <c r="E614" s="82"/>
      <c r="F614" s="32"/>
    </row>
    <row r="615" spans="1:6" ht="22.5" hidden="1" customHeight="1" outlineLevel="1" x14ac:dyDescent="0.25">
      <c r="A615" s="33" t="s">
        <v>646</v>
      </c>
      <c r="B615" s="79">
        <v>250</v>
      </c>
      <c r="C615" s="79" t="s">
        <v>15</v>
      </c>
      <c r="D615" s="83"/>
      <c r="E615" s="81">
        <f>B615*D615</f>
        <v>0</v>
      </c>
      <c r="F615" s="32"/>
    </row>
    <row r="616" spans="1:6" ht="15.75" hidden="1" customHeight="1" outlineLevel="1" x14ac:dyDescent="0.2">
      <c r="A616" s="35" t="s">
        <v>647</v>
      </c>
      <c r="B616" s="80"/>
      <c r="C616" s="80"/>
      <c r="D616" s="80"/>
      <c r="E616" s="82"/>
      <c r="F616" s="32"/>
    </row>
    <row r="617" spans="1:6" ht="22.5" hidden="1" customHeight="1" outlineLevel="1" x14ac:dyDescent="0.25">
      <c r="A617" s="33" t="s">
        <v>648</v>
      </c>
      <c r="B617" s="79">
        <v>250</v>
      </c>
      <c r="C617" s="79" t="s">
        <v>15</v>
      </c>
      <c r="D617" s="83"/>
      <c r="E617" s="81">
        <f>B617*D617</f>
        <v>0</v>
      </c>
      <c r="F617" s="32"/>
    </row>
    <row r="618" spans="1:6" ht="15.75" hidden="1" customHeight="1" outlineLevel="1" x14ac:dyDescent="0.2">
      <c r="A618" s="35" t="s">
        <v>649</v>
      </c>
      <c r="B618" s="80"/>
      <c r="C618" s="80"/>
      <c r="D618" s="80"/>
      <c r="E618" s="82"/>
      <c r="F618" s="32"/>
    </row>
    <row r="619" spans="1:6" ht="22.5" hidden="1" customHeight="1" outlineLevel="2" x14ac:dyDescent="0.25">
      <c r="A619" s="33" t="s">
        <v>650</v>
      </c>
      <c r="B619" s="79">
        <v>250</v>
      </c>
      <c r="C619" s="79" t="s">
        <v>15</v>
      </c>
      <c r="D619" s="83"/>
      <c r="E619" s="81">
        <f>B619*D619</f>
        <v>0</v>
      </c>
      <c r="F619" s="32"/>
    </row>
    <row r="620" spans="1:6" ht="15.75" hidden="1" customHeight="1" outlineLevel="2" x14ac:dyDescent="0.2">
      <c r="A620" s="35" t="s">
        <v>651</v>
      </c>
      <c r="B620" s="80"/>
      <c r="C620" s="80"/>
      <c r="D620" s="80"/>
      <c r="E620" s="82"/>
      <c r="F620" s="32"/>
    </row>
    <row r="621" spans="1:6" ht="22.5" hidden="1" customHeight="1" outlineLevel="2" x14ac:dyDescent="0.25">
      <c r="A621" s="33" t="s">
        <v>652</v>
      </c>
      <c r="B621" s="79">
        <v>250</v>
      </c>
      <c r="C621" s="79" t="s">
        <v>15</v>
      </c>
      <c r="D621" s="83"/>
      <c r="E621" s="81">
        <f>B621*D621</f>
        <v>0</v>
      </c>
      <c r="F621" s="32"/>
    </row>
    <row r="622" spans="1:6" ht="15.75" hidden="1" customHeight="1" outlineLevel="2" x14ac:dyDescent="0.2">
      <c r="A622" s="35" t="s">
        <v>653</v>
      </c>
      <c r="B622" s="80"/>
      <c r="C622" s="80"/>
      <c r="D622" s="80"/>
      <c r="E622" s="82"/>
      <c r="F622" s="32"/>
    </row>
    <row r="623" spans="1:6" ht="22.5" hidden="1" customHeight="1" outlineLevel="2" x14ac:dyDescent="0.25">
      <c r="A623" s="33" t="s">
        <v>654</v>
      </c>
      <c r="B623" s="79">
        <v>250</v>
      </c>
      <c r="C623" s="79" t="s">
        <v>15</v>
      </c>
      <c r="D623" s="83"/>
      <c r="E623" s="81">
        <f>B623*D623</f>
        <v>0</v>
      </c>
      <c r="F623" s="32"/>
    </row>
    <row r="624" spans="1:6" ht="15.75" hidden="1" customHeight="1" outlineLevel="2" x14ac:dyDescent="0.2">
      <c r="A624" s="35" t="s">
        <v>655</v>
      </c>
      <c r="B624" s="80"/>
      <c r="C624" s="80"/>
      <c r="D624" s="80"/>
      <c r="E624" s="82"/>
      <c r="F624" s="32"/>
    </row>
    <row r="625" spans="1:6" ht="22.5" hidden="1" customHeight="1" outlineLevel="2" x14ac:dyDescent="0.25">
      <c r="A625" s="33" t="s">
        <v>656</v>
      </c>
      <c r="B625" s="79">
        <v>250</v>
      </c>
      <c r="C625" s="79" t="s">
        <v>15</v>
      </c>
      <c r="D625" s="83"/>
      <c r="E625" s="81">
        <f>B625*D625</f>
        <v>0</v>
      </c>
      <c r="F625" s="32"/>
    </row>
    <row r="626" spans="1:6" ht="15.75" hidden="1" customHeight="1" outlineLevel="2" x14ac:dyDescent="0.2">
      <c r="A626" s="35" t="s">
        <v>657</v>
      </c>
      <c r="B626" s="80"/>
      <c r="C626" s="80"/>
      <c r="D626" s="80"/>
      <c r="E626" s="82"/>
      <c r="F626" s="32"/>
    </row>
    <row r="627" spans="1:6" ht="22.5" hidden="1" customHeight="1" outlineLevel="2" x14ac:dyDescent="0.25">
      <c r="A627" s="33" t="s">
        <v>658</v>
      </c>
      <c r="B627" s="79">
        <v>150</v>
      </c>
      <c r="C627" s="79" t="s">
        <v>15</v>
      </c>
      <c r="D627" s="83"/>
      <c r="E627" s="81">
        <f>B627*D627</f>
        <v>0</v>
      </c>
      <c r="F627" s="32"/>
    </row>
    <row r="628" spans="1:6" ht="15.75" hidden="1" customHeight="1" outlineLevel="2" x14ac:dyDescent="0.2">
      <c r="A628" s="35" t="s">
        <v>659</v>
      </c>
      <c r="B628" s="80"/>
      <c r="C628" s="80"/>
      <c r="D628" s="80"/>
      <c r="E628" s="82"/>
      <c r="F628" s="32"/>
    </row>
    <row r="629" spans="1:6" ht="22.5" hidden="1" customHeight="1" outlineLevel="2" x14ac:dyDescent="0.25">
      <c r="A629" s="33" t="s">
        <v>660</v>
      </c>
      <c r="B629" s="79">
        <v>350</v>
      </c>
      <c r="C629" s="79" t="s">
        <v>15</v>
      </c>
      <c r="D629" s="83"/>
      <c r="E629" s="81">
        <f>B629*D629</f>
        <v>0</v>
      </c>
      <c r="F629" s="32"/>
    </row>
    <row r="630" spans="1:6" ht="15.75" hidden="1" customHeight="1" outlineLevel="2" x14ac:dyDescent="0.2">
      <c r="A630" s="35" t="s">
        <v>661</v>
      </c>
      <c r="B630" s="80"/>
      <c r="C630" s="80"/>
      <c r="D630" s="80"/>
      <c r="E630" s="82"/>
      <c r="F630" s="32"/>
    </row>
    <row r="631" spans="1:6" ht="22.5" hidden="1" customHeight="1" outlineLevel="2" x14ac:dyDescent="0.25">
      <c r="A631" s="33" t="s">
        <v>662</v>
      </c>
      <c r="B631" s="79">
        <v>75</v>
      </c>
      <c r="C631" s="79" t="s">
        <v>15</v>
      </c>
      <c r="D631" s="83"/>
      <c r="E631" s="81">
        <f>B631*D631</f>
        <v>0</v>
      </c>
      <c r="F631" s="32"/>
    </row>
    <row r="632" spans="1:6" ht="15.75" hidden="1" customHeight="1" outlineLevel="2" x14ac:dyDescent="0.2">
      <c r="A632" s="35" t="s">
        <v>663</v>
      </c>
      <c r="B632" s="80"/>
      <c r="C632" s="80"/>
      <c r="D632" s="80"/>
      <c r="E632" s="82"/>
      <c r="F632" s="32"/>
    </row>
    <row r="633" spans="1:6" ht="22.5" hidden="1" customHeight="1" outlineLevel="2" x14ac:dyDescent="0.25">
      <c r="A633" s="33" t="s">
        <v>664</v>
      </c>
      <c r="B633" s="79">
        <v>250</v>
      </c>
      <c r="C633" s="79" t="s">
        <v>15</v>
      </c>
      <c r="D633" s="83"/>
      <c r="E633" s="81">
        <f>B633*D633</f>
        <v>0</v>
      </c>
      <c r="F633" s="32"/>
    </row>
    <row r="634" spans="1:6" ht="15.75" hidden="1" customHeight="1" outlineLevel="2" x14ac:dyDescent="0.2">
      <c r="A634" s="35" t="s">
        <v>665</v>
      </c>
      <c r="B634" s="80"/>
      <c r="C634" s="80"/>
      <c r="D634" s="80"/>
      <c r="E634" s="82"/>
      <c r="F634" s="32"/>
    </row>
    <row r="635" spans="1:6" ht="22.5" hidden="1" customHeight="1" outlineLevel="2" x14ac:dyDescent="0.25">
      <c r="A635" s="33" t="s">
        <v>666</v>
      </c>
      <c r="B635" s="79">
        <v>600</v>
      </c>
      <c r="C635" s="79" t="s">
        <v>15</v>
      </c>
      <c r="D635" s="83"/>
      <c r="E635" s="81">
        <f>B635*D635</f>
        <v>0</v>
      </c>
      <c r="F635" s="32"/>
    </row>
    <row r="636" spans="1:6" ht="15.75" hidden="1" customHeight="1" outlineLevel="2" x14ac:dyDescent="0.2">
      <c r="A636" s="35" t="s">
        <v>667</v>
      </c>
      <c r="B636" s="80"/>
      <c r="C636" s="80"/>
      <c r="D636" s="80"/>
      <c r="E636" s="82"/>
      <c r="F636" s="32"/>
    </row>
    <row r="637" spans="1:6" ht="22.5" hidden="1" customHeight="1" outlineLevel="2" x14ac:dyDescent="0.25">
      <c r="A637" s="33" t="s">
        <v>668</v>
      </c>
      <c r="B637" s="79">
        <v>1485</v>
      </c>
      <c r="C637" s="79" t="s">
        <v>15</v>
      </c>
      <c r="D637" s="83"/>
      <c r="E637" s="81">
        <f>B637*D637</f>
        <v>0</v>
      </c>
      <c r="F637" s="32"/>
    </row>
    <row r="638" spans="1:6" ht="15.75" hidden="1" customHeight="1" outlineLevel="2" x14ac:dyDescent="0.2">
      <c r="A638" s="35" t="s">
        <v>669</v>
      </c>
      <c r="B638" s="80"/>
      <c r="C638" s="80"/>
      <c r="D638" s="80"/>
      <c r="E638" s="82"/>
      <c r="F638" s="32"/>
    </row>
    <row r="639" spans="1:6" ht="22.5" hidden="1" customHeight="1" outlineLevel="2" x14ac:dyDescent="0.25">
      <c r="A639" s="33" t="s">
        <v>670</v>
      </c>
      <c r="B639" s="79">
        <v>440</v>
      </c>
      <c r="C639" s="79" t="s">
        <v>15</v>
      </c>
      <c r="D639" s="83"/>
      <c r="E639" s="81">
        <f>B639*D639</f>
        <v>0</v>
      </c>
      <c r="F639" s="32"/>
    </row>
    <row r="640" spans="1:6" ht="15.75" hidden="1" customHeight="1" outlineLevel="2" x14ac:dyDescent="0.2">
      <c r="A640" s="35" t="s">
        <v>671</v>
      </c>
      <c r="B640" s="80"/>
      <c r="C640" s="80"/>
      <c r="D640" s="80"/>
      <c r="E640" s="82"/>
      <c r="F640" s="32"/>
    </row>
    <row r="641" spans="1:6" ht="11.25" customHeight="1" x14ac:dyDescent="0.2">
      <c r="A641" s="84" t="s">
        <v>12</v>
      </c>
      <c r="B641" s="85"/>
      <c r="C641" s="85"/>
      <c r="D641" s="85"/>
      <c r="E641" s="85"/>
      <c r="F641" s="17"/>
    </row>
    <row r="642" spans="1:6" ht="22.5" customHeight="1" x14ac:dyDescent="0.2">
      <c r="A642" s="127" t="s">
        <v>672</v>
      </c>
      <c r="B642" s="128"/>
      <c r="C642" s="128"/>
      <c r="D642" s="129"/>
      <c r="E642" s="36"/>
      <c r="F642" s="37">
        <f>F643+F678+F727</f>
        <v>0</v>
      </c>
    </row>
    <row r="643" spans="1:6" ht="22.5" customHeight="1" collapsed="1" x14ac:dyDescent="0.2">
      <c r="A643" s="89" t="s">
        <v>673</v>
      </c>
      <c r="B643" s="87"/>
      <c r="C643" s="87"/>
      <c r="D643" s="88"/>
      <c r="E643" s="38"/>
      <c r="F643" s="45">
        <f>SUM(E644:E677)</f>
        <v>0</v>
      </c>
    </row>
    <row r="644" spans="1:6" ht="22.5" hidden="1" customHeight="1" outlineLevel="1" x14ac:dyDescent="0.25">
      <c r="A644" s="33" t="s">
        <v>674</v>
      </c>
      <c r="B644" s="79">
        <v>150</v>
      </c>
      <c r="C644" s="79" t="s">
        <v>15</v>
      </c>
      <c r="D644" s="83"/>
      <c r="E644" s="81">
        <f>B644*D644</f>
        <v>0</v>
      </c>
      <c r="F644" s="32"/>
    </row>
    <row r="645" spans="1:6" ht="15.75" hidden="1" customHeight="1" outlineLevel="1" x14ac:dyDescent="0.2">
      <c r="A645" s="35" t="s">
        <v>675</v>
      </c>
      <c r="B645" s="80"/>
      <c r="C645" s="80"/>
      <c r="D645" s="80"/>
      <c r="E645" s="82"/>
      <c r="F645" s="32"/>
    </row>
    <row r="646" spans="1:6" ht="22.5" hidden="1" customHeight="1" outlineLevel="2" x14ac:dyDescent="0.25">
      <c r="A646" s="33" t="s">
        <v>676</v>
      </c>
      <c r="B646" s="79">
        <v>550</v>
      </c>
      <c r="C646" s="79" t="s">
        <v>15</v>
      </c>
      <c r="D646" s="83"/>
      <c r="E646" s="81">
        <f>B646*D646</f>
        <v>0</v>
      </c>
      <c r="F646" s="46"/>
    </row>
    <row r="647" spans="1:6" ht="15.75" hidden="1" customHeight="1" outlineLevel="2" x14ac:dyDescent="0.2">
      <c r="A647" s="35" t="s">
        <v>677</v>
      </c>
      <c r="B647" s="80"/>
      <c r="C647" s="80"/>
      <c r="D647" s="80"/>
      <c r="E647" s="82"/>
      <c r="F647" s="46"/>
    </row>
    <row r="648" spans="1:6" ht="22.5" hidden="1" customHeight="1" outlineLevel="2" x14ac:dyDescent="0.25">
      <c r="A648" s="33" t="s">
        <v>678</v>
      </c>
      <c r="B648" s="79">
        <v>1350</v>
      </c>
      <c r="C648" s="79" t="s">
        <v>15</v>
      </c>
      <c r="D648" s="83"/>
      <c r="E648" s="81">
        <f>B648*D648</f>
        <v>0</v>
      </c>
      <c r="F648" s="46"/>
    </row>
    <row r="649" spans="1:6" ht="15.75" hidden="1" customHeight="1" outlineLevel="2" x14ac:dyDescent="0.2">
      <c r="A649" s="35" t="s">
        <v>679</v>
      </c>
      <c r="B649" s="80"/>
      <c r="C649" s="80"/>
      <c r="D649" s="80"/>
      <c r="E649" s="82"/>
      <c r="F649" s="46"/>
    </row>
    <row r="650" spans="1:6" ht="22.5" hidden="1" customHeight="1" outlineLevel="2" x14ac:dyDescent="0.25">
      <c r="A650" s="33" t="s">
        <v>553</v>
      </c>
      <c r="B650" s="79">
        <v>50</v>
      </c>
      <c r="C650" s="79" t="s">
        <v>36</v>
      </c>
      <c r="D650" s="83"/>
      <c r="E650" s="81">
        <f>B650*D650</f>
        <v>0</v>
      </c>
      <c r="F650" s="32"/>
    </row>
    <row r="651" spans="1:6" ht="15.75" hidden="1" customHeight="1" outlineLevel="2" x14ac:dyDescent="0.2">
      <c r="A651" s="35" t="s">
        <v>680</v>
      </c>
      <c r="B651" s="80"/>
      <c r="C651" s="80"/>
      <c r="D651" s="80"/>
      <c r="E651" s="82"/>
      <c r="F651" s="32"/>
    </row>
    <row r="652" spans="1:6" ht="22.5" hidden="1" customHeight="1" outlineLevel="2" x14ac:dyDescent="0.25">
      <c r="A652" s="33" t="s">
        <v>681</v>
      </c>
      <c r="B652" s="79">
        <v>160</v>
      </c>
      <c r="C652" s="79" t="s">
        <v>36</v>
      </c>
      <c r="D652" s="83"/>
      <c r="E652" s="81">
        <f>B652*D652</f>
        <v>0</v>
      </c>
      <c r="F652" s="32"/>
    </row>
    <row r="653" spans="1:6" ht="15.75" hidden="1" customHeight="1" outlineLevel="2" x14ac:dyDescent="0.2">
      <c r="A653" s="35" t="s">
        <v>682</v>
      </c>
      <c r="B653" s="80"/>
      <c r="C653" s="80"/>
      <c r="D653" s="80"/>
      <c r="E653" s="82"/>
      <c r="F653" s="32"/>
    </row>
    <row r="654" spans="1:6" ht="22.5" hidden="1" customHeight="1" outlineLevel="2" x14ac:dyDescent="0.25">
      <c r="A654" s="33" t="s">
        <v>683</v>
      </c>
      <c r="B654" s="79">
        <v>3</v>
      </c>
      <c r="C654" s="79" t="s">
        <v>15</v>
      </c>
      <c r="D654" s="83"/>
      <c r="E654" s="81">
        <f>B654*D654</f>
        <v>0</v>
      </c>
      <c r="F654" s="32"/>
    </row>
    <row r="655" spans="1:6" ht="15.75" hidden="1" customHeight="1" outlineLevel="2" x14ac:dyDescent="0.2">
      <c r="A655" s="35" t="s">
        <v>558</v>
      </c>
      <c r="B655" s="80"/>
      <c r="C655" s="80"/>
      <c r="D655" s="80"/>
      <c r="E655" s="82"/>
      <c r="F655" s="32"/>
    </row>
    <row r="656" spans="1:6" ht="22.5" hidden="1" customHeight="1" outlineLevel="3" x14ac:dyDescent="0.25">
      <c r="A656" s="33" t="s">
        <v>561</v>
      </c>
      <c r="B656" s="79">
        <v>150</v>
      </c>
      <c r="C656" s="79" t="s">
        <v>15</v>
      </c>
      <c r="D656" s="83"/>
      <c r="E656" s="81">
        <f>B656*D656</f>
        <v>0</v>
      </c>
      <c r="F656" s="32"/>
    </row>
    <row r="657" spans="1:6" ht="15.75" hidden="1" customHeight="1" outlineLevel="3" x14ac:dyDescent="0.2">
      <c r="A657" s="35" t="s">
        <v>562</v>
      </c>
      <c r="B657" s="80"/>
      <c r="C657" s="80"/>
      <c r="D657" s="80"/>
      <c r="E657" s="82"/>
      <c r="F657" s="32"/>
    </row>
    <row r="658" spans="1:6" ht="22.5" hidden="1" customHeight="1" outlineLevel="3" x14ac:dyDescent="0.25">
      <c r="A658" s="33" t="s">
        <v>563</v>
      </c>
      <c r="B658" s="79">
        <v>150</v>
      </c>
      <c r="C658" s="79" t="s">
        <v>15</v>
      </c>
      <c r="D658" s="83"/>
      <c r="E658" s="81">
        <f>B658*D658</f>
        <v>0</v>
      </c>
      <c r="F658" s="32"/>
    </row>
    <row r="659" spans="1:6" ht="15.75" hidden="1" customHeight="1" outlineLevel="3" x14ac:dyDescent="0.2">
      <c r="A659" s="35" t="s">
        <v>564</v>
      </c>
      <c r="B659" s="80"/>
      <c r="C659" s="80"/>
      <c r="D659" s="80"/>
      <c r="E659" s="82"/>
      <c r="F659" s="32"/>
    </row>
    <row r="660" spans="1:6" ht="22.5" hidden="1" customHeight="1" outlineLevel="3" x14ac:dyDescent="0.25">
      <c r="A660" s="33" t="s">
        <v>565</v>
      </c>
      <c r="B660" s="79">
        <v>250</v>
      </c>
      <c r="C660" s="79" t="s">
        <v>15</v>
      </c>
      <c r="D660" s="83"/>
      <c r="E660" s="81">
        <f>B660*D660</f>
        <v>0</v>
      </c>
      <c r="F660" s="32"/>
    </row>
    <row r="661" spans="1:6" ht="15.75" hidden="1" customHeight="1" outlineLevel="3" x14ac:dyDescent="0.2">
      <c r="A661" s="35" t="s">
        <v>564</v>
      </c>
      <c r="B661" s="80"/>
      <c r="C661" s="80"/>
      <c r="D661" s="80"/>
      <c r="E661" s="82"/>
      <c r="F661" s="32"/>
    </row>
    <row r="662" spans="1:6" ht="22.5" hidden="1" customHeight="1" outlineLevel="3" x14ac:dyDescent="0.25">
      <c r="A662" s="33" t="s">
        <v>581</v>
      </c>
      <c r="B662" s="79">
        <v>28</v>
      </c>
      <c r="C662" s="79" t="s">
        <v>38</v>
      </c>
      <c r="D662" s="83"/>
      <c r="E662" s="81">
        <f>B662*D662</f>
        <v>0</v>
      </c>
      <c r="F662" s="76" t="s">
        <v>684</v>
      </c>
    </row>
    <row r="663" spans="1:6" ht="15.75" hidden="1" customHeight="1" outlineLevel="3" x14ac:dyDescent="0.2">
      <c r="A663" s="35" t="s">
        <v>685</v>
      </c>
      <c r="B663" s="80"/>
      <c r="C663" s="80"/>
      <c r="D663" s="80"/>
      <c r="E663" s="82"/>
      <c r="F663" s="78"/>
    </row>
    <row r="664" spans="1:6" ht="22.5" hidden="1" customHeight="1" outlineLevel="3" x14ac:dyDescent="0.25">
      <c r="A664" s="33" t="s">
        <v>583</v>
      </c>
      <c r="B664" s="79">
        <v>36</v>
      </c>
      <c r="C664" s="79" t="s">
        <v>38</v>
      </c>
      <c r="D664" s="83"/>
      <c r="E664" s="81">
        <f>B664*D664</f>
        <v>0</v>
      </c>
      <c r="F664" s="76" t="s">
        <v>686</v>
      </c>
    </row>
    <row r="665" spans="1:6" ht="15.75" hidden="1" customHeight="1" outlineLevel="3" x14ac:dyDescent="0.2">
      <c r="A665" s="35" t="s">
        <v>584</v>
      </c>
      <c r="B665" s="80"/>
      <c r="C665" s="80"/>
      <c r="D665" s="80"/>
      <c r="E665" s="82"/>
      <c r="F665" s="78"/>
    </row>
    <row r="666" spans="1:6" ht="22.5" hidden="1" customHeight="1" outlineLevel="3" x14ac:dyDescent="0.25">
      <c r="A666" s="33" t="s">
        <v>585</v>
      </c>
      <c r="B666" s="79">
        <v>6</v>
      </c>
      <c r="C666" s="79" t="s">
        <v>38</v>
      </c>
      <c r="D666" s="83"/>
      <c r="E666" s="81">
        <f>B666*D666</f>
        <v>0</v>
      </c>
      <c r="F666" s="91" t="s">
        <v>687</v>
      </c>
    </row>
    <row r="667" spans="1:6" ht="15.75" hidden="1" customHeight="1" outlineLevel="3" x14ac:dyDescent="0.2">
      <c r="A667" s="35" t="s">
        <v>586</v>
      </c>
      <c r="B667" s="80"/>
      <c r="C667" s="80"/>
      <c r="D667" s="80"/>
      <c r="E667" s="82"/>
      <c r="F667" s="78"/>
    </row>
    <row r="668" spans="1:6" ht="22.5" hidden="1" customHeight="1" outlineLevel="2" x14ac:dyDescent="0.25">
      <c r="A668" s="33" t="s">
        <v>589</v>
      </c>
      <c r="B668" s="79">
        <v>25</v>
      </c>
      <c r="C668" s="79" t="s">
        <v>38</v>
      </c>
      <c r="D668" s="83"/>
      <c r="E668" s="81">
        <f>B668*D668</f>
        <v>0</v>
      </c>
      <c r="F668" s="32"/>
    </row>
    <row r="669" spans="1:6" ht="15.75" hidden="1" customHeight="1" outlineLevel="2" x14ac:dyDescent="0.2">
      <c r="A669" s="35" t="s">
        <v>590</v>
      </c>
      <c r="B669" s="80"/>
      <c r="C669" s="80"/>
      <c r="D669" s="80"/>
      <c r="E669" s="82"/>
      <c r="F669" s="32"/>
    </row>
    <row r="670" spans="1:6" ht="22.5" hidden="1" customHeight="1" outlineLevel="2" x14ac:dyDescent="0.25">
      <c r="A670" s="33" t="s">
        <v>591</v>
      </c>
      <c r="B670" s="79">
        <v>150</v>
      </c>
      <c r="C670" s="79" t="s">
        <v>15</v>
      </c>
      <c r="D670" s="83"/>
      <c r="E670" s="81">
        <f>B670*D670</f>
        <v>0</v>
      </c>
      <c r="F670" s="32"/>
    </row>
    <row r="671" spans="1:6" ht="15.75" hidden="1" customHeight="1" outlineLevel="2" x14ac:dyDescent="0.2">
      <c r="A671" s="35" t="s">
        <v>592</v>
      </c>
      <c r="B671" s="80"/>
      <c r="C671" s="80"/>
      <c r="D671" s="80"/>
      <c r="E671" s="82"/>
      <c r="F671" s="32"/>
    </row>
    <row r="672" spans="1:6" ht="22.5" hidden="1" customHeight="1" outlineLevel="2" x14ac:dyDescent="0.25">
      <c r="A672" s="33" t="s">
        <v>688</v>
      </c>
      <c r="B672" s="79">
        <v>25</v>
      </c>
      <c r="C672" s="79" t="s">
        <v>38</v>
      </c>
      <c r="D672" s="83"/>
      <c r="E672" s="81">
        <f>B672*D672</f>
        <v>0</v>
      </c>
      <c r="F672" s="32"/>
    </row>
    <row r="673" spans="1:6" ht="15.75" hidden="1" customHeight="1" outlineLevel="2" x14ac:dyDescent="0.2">
      <c r="A673" s="35" t="s">
        <v>596</v>
      </c>
      <c r="B673" s="80"/>
      <c r="C673" s="80"/>
      <c r="D673" s="80"/>
      <c r="E673" s="82"/>
      <c r="F673" s="32"/>
    </row>
    <row r="674" spans="1:6" ht="22.5" hidden="1" customHeight="1" outlineLevel="2" x14ac:dyDescent="0.25">
      <c r="A674" s="33" t="s">
        <v>601</v>
      </c>
      <c r="B674" s="79">
        <v>500</v>
      </c>
      <c r="C674" s="79" t="s">
        <v>15</v>
      </c>
      <c r="D674" s="83"/>
      <c r="E674" s="81">
        <f>B674*D674</f>
        <v>0</v>
      </c>
      <c r="F674" s="32"/>
    </row>
    <row r="675" spans="1:6" ht="15.75" hidden="1" customHeight="1" outlineLevel="2" x14ac:dyDescent="0.2">
      <c r="A675" s="35" t="s">
        <v>602</v>
      </c>
      <c r="B675" s="80"/>
      <c r="C675" s="80"/>
      <c r="D675" s="80"/>
      <c r="E675" s="82"/>
      <c r="F675" s="32"/>
    </row>
    <row r="676" spans="1:6" ht="22.5" hidden="1" customHeight="1" outlineLevel="2" x14ac:dyDescent="0.25">
      <c r="A676" s="33" t="s">
        <v>689</v>
      </c>
      <c r="B676" s="79">
        <v>250</v>
      </c>
      <c r="C676" s="79" t="s">
        <v>15</v>
      </c>
      <c r="D676" s="83"/>
      <c r="E676" s="81">
        <f>B676*D676</f>
        <v>0</v>
      </c>
      <c r="F676" s="32"/>
    </row>
    <row r="677" spans="1:6" ht="15.75" hidden="1" customHeight="1" outlineLevel="2" x14ac:dyDescent="0.2">
      <c r="A677" s="35" t="s">
        <v>690</v>
      </c>
      <c r="B677" s="80"/>
      <c r="C677" s="80"/>
      <c r="D677" s="80"/>
      <c r="E677" s="82"/>
      <c r="F677" s="32"/>
    </row>
    <row r="678" spans="1:6" ht="22.5" customHeight="1" collapsed="1" x14ac:dyDescent="0.2">
      <c r="A678" s="89" t="s">
        <v>691</v>
      </c>
      <c r="B678" s="87"/>
      <c r="C678" s="87"/>
      <c r="D678" s="88"/>
      <c r="E678" s="38"/>
      <c r="F678" s="45">
        <f>SUM(E679:E726)</f>
        <v>0</v>
      </c>
    </row>
    <row r="679" spans="1:6" ht="22.5" hidden="1" customHeight="1" outlineLevel="1" x14ac:dyDescent="0.25">
      <c r="A679" s="33" t="s">
        <v>692</v>
      </c>
      <c r="B679" s="79">
        <v>500</v>
      </c>
      <c r="C679" s="79" t="s">
        <v>15</v>
      </c>
      <c r="D679" s="83"/>
      <c r="E679" s="81">
        <f>B679*D679</f>
        <v>0</v>
      </c>
      <c r="F679" s="32"/>
    </row>
    <row r="680" spans="1:6" ht="15.75" hidden="1" customHeight="1" outlineLevel="1" x14ac:dyDescent="0.2">
      <c r="A680" s="35" t="s">
        <v>693</v>
      </c>
      <c r="B680" s="80"/>
      <c r="C680" s="80"/>
      <c r="D680" s="80"/>
      <c r="E680" s="82"/>
      <c r="F680" s="32"/>
    </row>
    <row r="681" spans="1:6" ht="22.5" hidden="1" customHeight="1" outlineLevel="1" x14ac:dyDescent="0.25">
      <c r="A681" s="33" t="s">
        <v>694</v>
      </c>
      <c r="B681" s="79">
        <v>700</v>
      </c>
      <c r="C681" s="79" t="s">
        <v>15</v>
      </c>
      <c r="D681" s="83"/>
      <c r="E681" s="81">
        <f>B681*D681</f>
        <v>0</v>
      </c>
      <c r="F681" s="32"/>
    </row>
    <row r="682" spans="1:6" ht="15.75" hidden="1" customHeight="1" outlineLevel="1" x14ac:dyDescent="0.2">
      <c r="A682" s="35" t="s">
        <v>695</v>
      </c>
      <c r="B682" s="80"/>
      <c r="C682" s="80"/>
      <c r="D682" s="80"/>
      <c r="E682" s="82"/>
      <c r="F682" s="32"/>
    </row>
    <row r="683" spans="1:6" ht="22.5" hidden="1" customHeight="1" outlineLevel="1" x14ac:dyDescent="0.25">
      <c r="A683" s="33" t="s">
        <v>696</v>
      </c>
      <c r="B683" s="79">
        <v>18</v>
      </c>
      <c r="C683" s="79" t="s">
        <v>38</v>
      </c>
      <c r="D683" s="83"/>
      <c r="E683" s="81">
        <f>B683*D683</f>
        <v>0</v>
      </c>
      <c r="F683" s="76" t="s">
        <v>697</v>
      </c>
    </row>
    <row r="684" spans="1:6" ht="15.75" hidden="1" customHeight="1" outlineLevel="1" x14ac:dyDescent="0.2">
      <c r="A684" s="35" t="s">
        <v>698</v>
      </c>
      <c r="B684" s="80"/>
      <c r="C684" s="80"/>
      <c r="D684" s="80"/>
      <c r="E684" s="82"/>
      <c r="F684" s="78"/>
    </row>
    <row r="685" spans="1:6" ht="22.5" hidden="1" customHeight="1" outlineLevel="2" x14ac:dyDescent="0.25">
      <c r="A685" s="33" t="s">
        <v>699</v>
      </c>
      <c r="B685" s="79">
        <v>26</v>
      </c>
      <c r="C685" s="79" t="s">
        <v>38</v>
      </c>
      <c r="D685" s="83"/>
      <c r="E685" s="81">
        <f>B685*D685</f>
        <v>0</v>
      </c>
      <c r="F685" s="76" t="s">
        <v>700</v>
      </c>
    </row>
    <row r="686" spans="1:6" ht="15.75" hidden="1" customHeight="1" outlineLevel="2" x14ac:dyDescent="0.2">
      <c r="A686" s="35" t="s">
        <v>701</v>
      </c>
      <c r="B686" s="80"/>
      <c r="C686" s="80"/>
      <c r="D686" s="80"/>
      <c r="E686" s="82"/>
      <c r="F686" s="78"/>
    </row>
    <row r="687" spans="1:6" ht="22.5" hidden="1" customHeight="1" outlineLevel="1" x14ac:dyDescent="0.25">
      <c r="A687" s="33" t="s">
        <v>702</v>
      </c>
      <c r="B687" s="79">
        <v>6</v>
      </c>
      <c r="C687" s="79" t="s">
        <v>38</v>
      </c>
      <c r="D687" s="83">
        <f>D683*1.2</f>
        <v>0</v>
      </c>
      <c r="E687" s="81">
        <f>B687*D687</f>
        <v>0</v>
      </c>
      <c r="F687" s="32"/>
    </row>
    <row r="688" spans="1:6" ht="15.75" hidden="1" customHeight="1" outlineLevel="1" x14ac:dyDescent="0.2">
      <c r="A688" s="35" t="s">
        <v>703</v>
      </c>
      <c r="B688" s="80"/>
      <c r="C688" s="80"/>
      <c r="D688" s="80"/>
      <c r="E688" s="82"/>
      <c r="F688" s="32"/>
    </row>
    <row r="689" spans="1:6" ht="22.5" hidden="1" customHeight="1" outlineLevel="1" x14ac:dyDescent="0.25">
      <c r="A689" s="33" t="s">
        <v>704</v>
      </c>
      <c r="B689" s="79">
        <v>18</v>
      </c>
      <c r="C689" s="79" t="s">
        <v>38</v>
      </c>
      <c r="D689" s="83"/>
      <c r="E689" s="81">
        <f>B689*D689</f>
        <v>0</v>
      </c>
      <c r="F689" s="76" t="s">
        <v>705</v>
      </c>
    </row>
    <row r="690" spans="1:6" ht="15.75" hidden="1" customHeight="1" outlineLevel="1" x14ac:dyDescent="0.2">
      <c r="A690" s="35" t="s">
        <v>706</v>
      </c>
      <c r="B690" s="80"/>
      <c r="C690" s="80"/>
      <c r="D690" s="80"/>
      <c r="E690" s="82"/>
      <c r="F690" s="78"/>
    </row>
    <row r="691" spans="1:6" ht="22.5" hidden="1" customHeight="1" outlineLevel="2" x14ac:dyDescent="0.25">
      <c r="A691" s="33" t="s">
        <v>707</v>
      </c>
      <c r="B691" s="79">
        <v>26</v>
      </c>
      <c r="C691" s="79" t="s">
        <v>38</v>
      </c>
      <c r="D691" s="83"/>
      <c r="E691" s="81">
        <f>B691*D691</f>
        <v>0</v>
      </c>
      <c r="F691" s="76" t="s">
        <v>708</v>
      </c>
    </row>
    <row r="692" spans="1:6" ht="15.75" hidden="1" customHeight="1" outlineLevel="2" x14ac:dyDescent="0.2">
      <c r="A692" s="35" t="s">
        <v>709</v>
      </c>
      <c r="B692" s="80"/>
      <c r="C692" s="80"/>
      <c r="D692" s="80"/>
      <c r="E692" s="82"/>
      <c r="F692" s="78"/>
    </row>
    <row r="693" spans="1:6" ht="22.5" hidden="1" customHeight="1" outlineLevel="1" x14ac:dyDescent="0.25">
      <c r="A693" s="33" t="s">
        <v>710</v>
      </c>
      <c r="B693" s="79">
        <v>15</v>
      </c>
      <c r="C693" s="79" t="s">
        <v>38</v>
      </c>
      <c r="D693" s="83">
        <f>D689*1.2</f>
        <v>0</v>
      </c>
      <c r="E693" s="81">
        <f>B693*D693</f>
        <v>0</v>
      </c>
      <c r="F693" s="91" t="s">
        <v>711</v>
      </c>
    </row>
    <row r="694" spans="1:6" ht="15.75" hidden="1" customHeight="1" outlineLevel="1" x14ac:dyDescent="0.2">
      <c r="A694" s="35" t="s">
        <v>712</v>
      </c>
      <c r="B694" s="80"/>
      <c r="C694" s="80"/>
      <c r="D694" s="80"/>
      <c r="E694" s="82"/>
      <c r="F694" s="78"/>
    </row>
    <row r="695" spans="1:6" ht="22.5" hidden="1" customHeight="1" outlineLevel="1" x14ac:dyDescent="0.25">
      <c r="A695" s="33" t="s">
        <v>713</v>
      </c>
      <c r="B695" s="79">
        <v>1000</v>
      </c>
      <c r="C695" s="79" t="s">
        <v>15</v>
      </c>
      <c r="D695" s="83"/>
      <c r="E695" s="81">
        <f>B695*D695</f>
        <v>0</v>
      </c>
      <c r="F695" s="32"/>
    </row>
    <row r="696" spans="1:6" ht="15.75" hidden="1" customHeight="1" outlineLevel="1" x14ac:dyDescent="0.2">
      <c r="A696" s="35" t="s">
        <v>714</v>
      </c>
      <c r="B696" s="80"/>
      <c r="C696" s="80"/>
      <c r="D696" s="80"/>
      <c r="E696" s="82"/>
      <c r="F696" s="32"/>
    </row>
    <row r="697" spans="1:6" ht="22.5" hidden="1" customHeight="1" outlineLevel="1" x14ac:dyDescent="0.25">
      <c r="A697" s="33" t="s">
        <v>715</v>
      </c>
      <c r="B697" s="79">
        <v>550</v>
      </c>
      <c r="C697" s="79" t="s">
        <v>15</v>
      </c>
      <c r="D697" s="83">
        <f>D695</f>
        <v>0</v>
      </c>
      <c r="E697" s="81">
        <f>B697*D697</f>
        <v>0</v>
      </c>
      <c r="F697" s="32"/>
    </row>
    <row r="698" spans="1:6" ht="15.75" hidden="1" customHeight="1" outlineLevel="1" x14ac:dyDescent="0.2">
      <c r="A698" s="35" t="s">
        <v>716</v>
      </c>
      <c r="B698" s="80"/>
      <c r="C698" s="80"/>
      <c r="D698" s="80"/>
      <c r="E698" s="82"/>
      <c r="F698" s="32"/>
    </row>
    <row r="699" spans="1:6" ht="22.5" hidden="1" customHeight="1" outlineLevel="2" x14ac:dyDescent="0.25">
      <c r="A699" s="33" t="s">
        <v>717</v>
      </c>
      <c r="B699" s="79">
        <v>45</v>
      </c>
      <c r="C699" s="79" t="s">
        <v>38</v>
      </c>
      <c r="D699" s="83"/>
      <c r="E699" s="81">
        <f>B699*D699</f>
        <v>0</v>
      </c>
      <c r="F699" s="32"/>
    </row>
    <row r="700" spans="1:6" ht="15.75" hidden="1" customHeight="1" outlineLevel="2" x14ac:dyDescent="0.2">
      <c r="A700" s="35" t="s">
        <v>718</v>
      </c>
      <c r="B700" s="80"/>
      <c r="C700" s="80"/>
      <c r="D700" s="80"/>
      <c r="E700" s="82"/>
      <c r="F700" s="32"/>
    </row>
    <row r="701" spans="1:6" ht="22.5" hidden="1" customHeight="1" outlineLevel="2" x14ac:dyDescent="0.25">
      <c r="A701" s="33" t="s">
        <v>719</v>
      </c>
      <c r="B701" s="79">
        <v>100</v>
      </c>
      <c r="C701" s="79" t="s">
        <v>15</v>
      </c>
      <c r="D701" s="83"/>
      <c r="E701" s="81">
        <f>B701*D701</f>
        <v>0</v>
      </c>
      <c r="F701" s="32"/>
    </row>
    <row r="702" spans="1:6" ht="15.75" hidden="1" customHeight="1" outlineLevel="2" x14ac:dyDescent="0.2">
      <c r="A702" s="35" t="s">
        <v>720</v>
      </c>
      <c r="B702" s="80"/>
      <c r="C702" s="80"/>
      <c r="D702" s="80"/>
      <c r="E702" s="82"/>
      <c r="F702" s="32"/>
    </row>
    <row r="703" spans="1:6" ht="22.5" hidden="1" customHeight="1" outlineLevel="2" x14ac:dyDescent="0.25">
      <c r="A703" s="33" t="s">
        <v>721</v>
      </c>
      <c r="B703" s="79">
        <v>50</v>
      </c>
      <c r="C703" s="79" t="s">
        <v>15</v>
      </c>
      <c r="D703" s="83"/>
      <c r="E703" s="81">
        <f>B703*D703</f>
        <v>0</v>
      </c>
      <c r="F703" s="32"/>
    </row>
    <row r="704" spans="1:6" ht="15.75" hidden="1" customHeight="1" outlineLevel="2" x14ac:dyDescent="0.2">
      <c r="A704" s="35" t="s">
        <v>722</v>
      </c>
      <c r="B704" s="80"/>
      <c r="C704" s="80"/>
      <c r="D704" s="80"/>
      <c r="E704" s="82"/>
      <c r="F704" s="32"/>
    </row>
    <row r="705" spans="1:6" ht="22.5" hidden="1" customHeight="1" outlineLevel="2" x14ac:dyDescent="0.25">
      <c r="A705" s="33" t="s">
        <v>723</v>
      </c>
      <c r="B705" s="79">
        <v>50</v>
      </c>
      <c r="C705" s="79" t="s">
        <v>15</v>
      </c>
      <c r="D705" s="83"/>
      <c r="E705" s="81">
        <f>B705*D705</f>
        <v>0</v>
      </c>
      <c r="F705" s="32"/>
    </row>
    <row r="706" spans="1:6" ht="15.75" hidden="1" customHeight="1" outlineLevel="2" x14ac:dyDescent="0.2">
      <c r="A706" s="35" t="s">
        <v>724</v>
      </c>
      <c r="B706" s="80"/>
      <c r="C706" s="80"/>
      <c r="D706" s="80"/>
      <c r="E706" s="82"/>
      <c r="F706" s="32"/>
    </row>
    <row r="707" spans="1:6" ht="22.5" hidden="1" customHeight="1" outlineLevel="2" x14ac:dyDescent="0.25">
      <c r="A707" s="33" t="s">
        <v>725</v>
      </c>
      <c r="B707" s="79">
        <v>305</v>
      </c>
      <c r="C707" s="79" t="s">
        <v>15</v>
      </c>
      <c r="D707" s="83"/>
      <c r="E707" s="81">
        <f>B707*D707</f>
        <v>0</v>
      </c>
      <c r="F707" s="32"/>
    </row>
    <row r="708" spans="1:6" ht="15.75" hidden="1" customHeight="1" outlineLevel="2" x14ac:dyDescent="0.2">
      <c r="A708" s="35" t="s">
        <v>726</v>
      </c>
      <c r="B708" s="80"/>
      <c r="C708" s="80"/>
      <c r="D708" s="80"/>
      <c r="E708" s="82"/>
      <c r="F708" s="32"/>
    </row>
    <row r="709" spans="1:6" ht="22.5" hidden="1" customHeight="1" outlineLevel="2" x14ac:dyDescent="0.25">
      <c r="A709" s="33" t="s">
        <v>727</v>
      </c>
      <c r="B709" s="79">
        <v>510</v>
      </c>
      <c r="C709" s="79" t="s">
        <v>15</v>
      </c>
      <c r="D709" s="83"/>
      <c r="E709" s="81">
        <f>B709*D709</f>
        <v>0</v>
      </c>
      <c r="F709" s="32"/>
    </row>
    <row r="710" spans="1:6" ht="15.75" hidden="1" customHeight="1" outlineLevel="2" x14ac:dyDescent="0.2">
      <c r="A710" s="35" t="s">
        <v>728</v>
      </c>
      <c r="B710" s="80"/>
      <c r="C710" s="80"/>
      <c r="D710" s="80"/>
      <c r="E710" s="82"/>
      <c r="F710" s="32"/>
    </row>
    <row r="711" spans="1:6" ht="22.5" hidden="1" customHeight="1" outlineLevel="1" x14ac:dyDescent="0.25">
      <c r="A711" s="33" t="s">
        <v>729</v>
      </c>
      <c r="B711" s="79">
        <v>500</v>
      </c>
      <c r="C711" s="79" t="s">
        <v>15</v>
      </c>
      <c r="D711" s="83"/>
      <c r="E711" s="81">
        <f>B711*D711</f>
        <v>0</v>
      </c>
      <c r="F711" s="32"/>
    </row>
    <row r="712" spans="1:6" ht="15.75" hidden="1" customHeight="1" outlineLevel="1" x14ac:dyDescent="0.2">
      <c r="A712" s="35" t="s">
        <v>730</v>
      </c>
      <c r="B712" s="80"/>
      <c r="C712" s="80"/>
      <c r="D712" s="80"/>
      <c r="E712" s="82"/>
      <c r="F712" s="32"/>
    </row>
    <row r="713" spans="1:6" ht="22.5" hidden="1" customHeight="1" outlineLevel="2" x14ac:dyDescent="0.25">
      <c r="A713" s="33" t="s">
        <v>731</v>
      </c>
      <c r="B713" s="79">
        <v>500</v>
      </c>
      <c r="C713" s="79" t="s">
        <v>15</v>
      </c>
      <c r="D713" s="83"/>
      <c r="E713" s="81">
        <f>B713*D713</f>
        <v>0</v>
      </c>
      <c r="F713" s="32"/>
    </row>
    <row r="714" spans="1:6" ht="15.75" hidden="1" customHeight="1" outlineLevel="2" x14ac:dyDescent="0.2">
      <c r="A714" s="35" t="s">
        <v>732</v>
      </c>
      <c r="B714" s="80"/>
      <c r="C714" s="80"/>
      <c r="D714" s="80"/>
      <c r="E714" s="82"/>
      <c r="F714" s="32"/>
    </row>
    <row r="715" spans="1:6" ht="22.5" hidden="1" customHeight="1" outlineLevel="1" x14ac:dyDescent="0.25">
      <c r="A715" s="33" t="s">
        <v>733</v>
      </c>
      <c r="B715" s="79">
        <v>500</v>
      </c>
      <c r="C715" s="79" t="s">
        <v>15</v>
      </c>
      <c r="D715" s="83"/>
      <c r="E715" s="81">
        <f>B715*D715</f>
        <v>0</v>
      </c>
      <c r="F715" s="32"/>
    </row>
    <row r="716" spans="1:6" ht="15.75" hidden="1" customHeight="1" outlineLevel="1" x14ac:dyDescent="0.2">
      <c r="A716" s="35" t="s">
        <v>734</v>
      </c>
      <c r="B716" s="80"/>
      <c r="C716" s="80"/>
      <c r="D716" s="80"/>
      <c r="E716" s="82"/>
      <c r="F716" s="32"/>
    </row>
    <row r="717" spans="1:6" ht="22.5" hidden="1" customHeight="1" outlineLevel="2" x14ac:dyDescent="0.25">
      <c r="A717" s="33" t="s">
        <v>735</v>
      </c>
      <c r="B717" s="79">
        <v>350</v>
      </c>
      <c r="C717" s="79" t="s">
        <v>15</v>
      </c>
      <c r="D717" s="83"/>
      <c r="E717" s="81">
        <f>B717*D717</f>
        <v>0</v>
      </c>
      <c r="F717" s="32"/>
    </row>
    <row r="718" spans="1:6" ht="15.75" hidden="1" customHeight="1" outlineLevel="2" x14ac:dyDescent="0.2">
      <c r="A718" s="35" t="s">
        <v>736</v>
      </c>
      <c r="B718" s="80"/>
      <c r="C718" s="80"/>
      <c r="D718" s="80"/>
      <c r="E718" s="82"/>
      <c r="F718" s="32"/>
    </row>
    <row r="719" spans="1:6" ht="22.5" hidden="1" customHeight="1" outlineLevel="2" x14ac:dyDescent="0.25">
      <c r="A719" s="33" t="s">
        <v>737</v>
      </c>
      <c r="B719" s="79">
        <v>400</v>
      </c>
      <c r="C719" s="79" t="s">
        <v>15</v>
      </c>
      <c r="D719" s="83"/>
      <c r="E719" s="81">
        <f>B719*D719</f>
        <v>0</v>
      </c>
      <c r="F719" s="32"/>
    </row>
    <row r="720" spans="1:6" ht="15.75" hidden="1" customHeight="1" outlineLevel="2" x14ac:dyDescent="0.2">
      <c r="A720" s="35" t="s">
        <v>738</v>
      </c>
      <c r="B720" s="80"/>
      <c r="C720" s="80"/>
      <c r="D720" s="80"/>
      <c r="E720" s="82"/>
      <c r="F720" s="32"/>
    </row>
    <row r="721" spans="1:6" ht="22.5" hidden="1" customHeight="1" outlineLevel="2" x14ac:dyDescent="0.25">
      <c r="A721" s="33" t="s">
        <v>739</v>
      </c>
      <c r="B721" s="79">
        <v>700</v>
      </c>
      <c r="C721" s="79" t="s">
        <v>15</v>
      </c>
      <c r="D721" s="83"/>
      <c r="E721" s="81">
        <f>B721*D721</f>
        <v>0</v>
      </c>
      <c r="F721" s="32"/>
    </row>
    <row r="722" spans="1:6" ht="15.75" hidden="1" customHeight="1" outlineLevel="2" x14ac:dyDescent="0.2">
      <c r="A722" s="35" t="s">
        <v>740</v>
      </c>
      <c r="B722" s="80"/>
      <c r="C722" s="80"/>
      <c r="D722" s="80"/>
      <c r="E722" s="82"/>
      <c r="F722" s="32"/>
    </row>
    <row r="723" spans="1:6" ht="22.5" hidden="1" customHeight="1" outlineLevel="2" x14ac:dyDescent="0.25">
      <c r="A723" s="33" t="s">
        <v>741</v>
      </c>
      <c r="B723" s="79">
        <v>200</v>
      </c>
      <c r="C723" s="79" t="s">
        <v>15</v>
      </c>
      <c r="D723" s="83"/>
      <c r="E723" s="81">
        <f>B723*D723</f>
        <v>0</v>
      </c>
      <c r="F723" s="32"/>
    </row>
    <row r="724" spans="1:6" ht="15.75" hidden="1" customHeight="1" outlineLevel="2" x14ac:dyDescent="0.2">
      <c r="A724" s="35" t="s">
        <v>742</v>
      </c>
      <c r="B724" s="80"/>
      <c r="C724" s="80"/>
      <c r="D724" s="80"/>
      <c r="E724" s="82"/>
      <c r="F724" s="32"/>
    </row>
    <row r="725" spans="1:6" ht="22.5" hidden="1" customHeight="1" outlineLevel="2" x14ac:dyDescent="0.25">
      <c r="A725" s="33" t="s">
        <v>743</v>
      </c>
      <c r="B725" s="79">
        <v>400</v>
      </c>
      <c r="C725" s="79" t="s">
        <v>15</v>
      </c>
      <c r="D725" s="83"/>
      <c r="E725" s="81">
        <f>B725*D725</f>
        <v>0</v>
      </c>
      <c r="F725" s="32"/>
    </row>
    <row r="726" spans="1:6" ht="15.75" hidden="1" customHeight="1" outlineLevel="2" x14ac:dyDescent="0.2">
      <c r="A726" s="35" t="s">
        <v>744</v>
      </c>
      <c r="B726" s="80"/>
      <c r="C726" s="80"/>
      <c r="D726" s="80"/>
      <c r="E726" s="82"/>
      <c r="F726" s="32"/>
    </row>
    <row r="727" spans="1:6" ht="22.5" customHeight="1" collapsed="1" x14ac:dyDescent="0.2">
      <c r="A727" s="89" t="s">
        <v>745</v>
      </c>
      <c r="B727" s="87"/>
      <c r="C727" s="87"/>
      <c r="D727" s="88"/>
      <c r="E727" s="38"/>
      <c r="F727" s="45">
        <f>SUM(E728:E745)</f>
        <v>0</v>
      </c>
    </row>
    <row r="728" spans="1:6" ht="22.5" hidden="1" customHeight="1" outlineLevel="1" x14ac:dyDescent="0.25">
      <c r="A728" s="33" t="s">
        <v>746</v>
      </c>
      <c r="B728" s="79">
        <v>500</v>
      </c>
      <c r="C728" s="79" t="s">
        <v>15</v>
      </c>
      <c r="D728" s="83"/>
      <c r="E728" s="81">
        <f>B728*D728</f>
        <v>0</v>
      </c>
      <c r="F728" s="32"/>
    </row>
    <row r="729" spans="1:6" ht="15.75" hidden="1" customHeight="1" outlineLevel="1" x14ac:dyDescent="0.2">
      <c r="A729" s="35" t="s">
        <v>747</v>
      </c>
      <c r="B729" s="80"/>
      <c r="C729" s="80"/>
      <c r="D729" s="80"/>
      <c r="E729" s="82"/>
      <c r="F729" s="32"/>
    </row>
    <row r="730" spans="1:6" ht="22.5" hidden="1" customHeight="1" outlineLevel="2" x14ac:dyDescent="0.25">
      <c r="A730" s="33" t="s">
        <v>748</v>
      </c>
      <c r="B730" s="79">
        <v>90</v>
      </c>
      <c r="C730" s="79" t="s">
        <v>15</v>
      </c>
      <c r="D730" s="83"/>
      <c r="E730" s="81">
        <f>B730*D730</f>
        <v>0</v>
      </c>
      <c r="F730" s="32"/>
    </row>
    <row r="731" spans="1:6" ht="15.75" hidden="1" customHeight="1" outlineLevel="2" x14ac:dyDescent="0.2">
      <c r="A731" s="35" t="s">
        <v>749</v>
      </c>
      <c r="B731" s="80"/>
      <c r="C731" s="80"/>
      <c r="D731" s="80"/>
      <c r="E731" s="82"/>
      <c r="F731" s="32"/>
    </row>
    <row r="732" spans="1:6" ht="22.5" hidden="1" customHeight="1" outlineLevel="2" x14ac:dyDescent="0.25">
      <c r="A732" s="33" t="s">
        <v>750</v>
      </c>
      <c r="B732" s="79">
        <v>110</v>
      </c>
      <c r="C732" s="79" t="s">
        <v>15</v>
      </c>
      <c r="D732" s="83"/>
      <c r="E732" s="81">
        <f>B732*D732</f>
        <v>0</v>
      </c>
      <c r="F732" s="32"/>
    </row>
    <row r="733" spans="1:6" ht="15.75" hidden="1" customHeight="1" outlineLevel="2" x14ac:dyDescent="0.2">
      <c r="A733" s="35" t="s">
        <v>751</v>
      </c>
      <c r="B733" s="80"/>
      <c r="C733" s="80"/>
      <c r="D733" s="80"/>
      <c r="E733" s="82"/>
      <c r="F733" s="32"/>
    </row>
    <row r="734" spans="1:6" ht="22.5" hidden="1" customHeight="1" outlineLevel="1" x14ac:dyDescent="0.25">
      <c r="A734" s="33" t="s">
        <v>752</v>
      </c>
      <c r="B734" s="79">
        <v>80</v>
      </c>
      <c r="C734" s="79" t="s">
        <v>15</v>
      </c>
      <c r="D734" s="83"/>
      <c r="E734" s="81">
        <f>B734*D734</f>
        <v>0</v>
      </c>
      <c r="F734" s="32"/>
    </row>
    <row r="735" spans="1:6" ht="15.75" hidden="1" customHeight="1" outlineLevel="1" x14ac:dyDescent="0.2">
      <c r="A735" s="35" t="s">
        <v>753</v>
      </c>
      <c r="B735" s="80"/>
      <c r="C735" s="80"/>
      <c r="D735" s="80"/>
      <c r="E735" s="82"/>
      <c r="F735" s="32"/>
    </row>
    <row r="736" spans="1:6" ht="22.5" hidden="1" customHeight="1" outlineLevel="2" x14ac:dyDescent="0.25">
      <c r="A736" s="33" t="s">
        <v>754</v>
      </c>
      <c r="B736" s="79">
        <v>65</v>
      </c>
      <c r="C736" s="79" t="s">
        <v>15</v>
      </c>
      <c r="D736" s="83"/>
      <c r="E736" s="81">
        <f>B736*D736</f>
        <v>0</v>
      </c>
      <c r="F736" s="32"/>
    </row>
    <row r="737" spans="1:6" ht="15.75" hidden="1" customHeight="1" outlineLevel="2" x14ac:dyDescent="0.2">
      <c r="A737" s="35" t="s">
        <v>755</v>
      </c>
      <c r="B737" s="80"/>
      <c r="C737" s="80"/>
      <c r="D737" s="80"/>
      <c r="E737" s="82"/>
      <c r="F737" s="32"/>
    </row>
    <row r="738" spans="1:6" ht="22.5" hidden="1" customHeight="1" outlineLevel="1" x14ac:dyDescent="0.25">
      <c r="A738" s="33" t="s">
        <v>756</v>
      </c>
      <c r="B738" s="79">
        <v>50</v>
      </c>
      <c r="C738" s="79" t="s">
        <v>15</v>
      </c>
      <c r="D738" s="83"/>
      <c r="E738" s="81">
        <f>B738*D738</f>
        <v>0</v>
      </c>
      <c r="F738" s="32"/>
    </row>
    <row r="739" spans="1:6" ht="15.75" hidden="1" customHeight="1" outlineLevel="1" x14ac:dyDescent="0.2">
      <c r="A739" s="35" t="s">
        <v>757</v>
      </c>
      <c r="B739" s="80"/>
      <c r="C739" s="80"/>
      <c r="D739" s="80"/>
      <c r="E739" s="82"/>
      <c r="F739" s="32"/>
    </row>
    <row r="740" spans="1:6" ht="22.5" hidden="1" customHeight="1" outlineLevel="2" x14ac:dyDescent="0.25">
      <c r="A740" s="33" t="s">
        <v>758</v>
      </c>
      <c r="B740" s="79">
        <v>60</v>
      </c>
      <c r="C740" s="79" t="s">
        <v>15</v>
      </c>
      <c r="D740" s="83"/>
      <c r="E740" s="81">
        <f>B740*D740</f>
        <v>0</v>
      </c>
      <c r="F740" s="32"/>
    </row>
    <row r="741" spans="1:6" ht="15.75" hidden="1" customHeight="1" outlineLevel="2" x14ac:dyDescent="0.2">
      <c r="A741" s="35" t="s">
        <v>759</v>
      </c>
      <c r="B741" s="80"/>
      <c r="C741" s="80"/>
      <c r="D741" s="80"/>
      <c r="E741" s="82"/>
      <c r="F741" s="32"/>
    </row>
    <row r="742" spans="1:6" ht="22.5" hidden="1" customHeight="1" outlineLevel="2" x14ac:dyDescent="0.25">
      <c r="A742" s="33" t="s">
        <v>614</v>
      </c>
      <c r="B742" s="79">
        <v>100</v>
      </c>
      <c r="C742" s="79" t="s">
        <v>15</v>
      </c>
      <c r="D742" s="83"/>
      <c r="E742" s="81">
        <f>B742*D742</f>
        <v>0</v>
      </c>
      <c r="F742" s="32"/>
    </row>
    <row r="743" spans="1:6" ht="15.75" hidden="1" customHeight="1" outlineLevel="2" x14ac:dyDescent="0.2">
      <c r="A743" s="35" t="s">
        <v>615</v>
      </c>
      <c r="B743" s="80"/>
      <c r="C743" s="80"/>
      <c r="D743" s="80"/>
      <c r="E743" s="82"/>
      <c r="F743" s="32"/>
    </row>
    <row r="744" spans="1:6" ht="22.5" hidden="1" customHeight="1" outlineLevel="2" x14ac:dyDescent="0.25">
      <c r="A744" s="33" t="s">
        <v>616</v>
      </c>
      <c r="B744" s="79">
        <v>100</v>
      </c>
      <c r="C744" s="79" t="s">
        <v>15</v>
      </c>
      <c r="D744" s="83"/>
      <c r="E744" s="81">
        <f>B744*D744</f>
        <v>0</v>
      </c>
      <c r="F744" s="32"/>
    </row>
    <row r="745" spans="1:6" ht="15.75" hidden="1" customHeight="1" outlineLevel="2" x14ac:dyDescent="0.2">
      <c r="A745" s="35" t="s">
        <v>617</v>
      </c>
      <c r="B745" s="80"/>
      <c r="C745" s="80"/>
      <c r="D745" s="80"/>
      <c r="E745" s="82"/>
      <c r="F745" s="32"/>
    </row>
    <row r="746" spans="1:6" ht="11.25" customHeight="1" x14ac:dyDescent="0.2">
      <c r="A746" s="84" t="s">
        <v>12</v>
      </c>
      <c r="B746" s="85"/>
      <c r="C746" s="85"/>
      <c r="D746" s="85"/>
      <c r="E746" s="85"/>
      <c r="F746" s="17"/>
    </row>
    <row r="747" spans="1:6" ht="22.5" customHeight="1" x14ac:dyDescent="0.2">
      <c r="A747" s="127" t="s">
        <v>760</v>
      </c>
      <c r="B747" s="128"/>
      <c r="C747" s="128"/>
      <c r="D747" s="129"/>
      <c r="E747" s="31"/>
      <c r="F747" s="27">
        <f>F748+F783+F832</f>
        <v>0</v>
      </c>
    </row>
    <row r="748" spans="1:6" ht="22.5" customHeight="1" collapsed="1" x14ac:dyDescent="0.2">
      <c r="A748" s="89" t="s">
        <v>673</v>
      </c>
      <c r="B748" s="87"/>
      <c r="C748" s="87"/>
      <c r="D748" s="88"/>
      <c r="E748" s="38"/>
      <c r="F748" s="45">
        <f>SUM(E749:E782)</f>
        <v>0</v>
      </c>
    </row>
    <row r="749" spans="1:6" ht="22.5" hidden="1" customHeight="1" outlineLevel="1" x14ac:dyDescent="0.25">
      <c r="A749" s="33" t="s">
        <v>674</v>
      </c>
      <c r="B749" s="79">
        <v>150</v>
      </c>
      <c r="C749" s="79" t="s">
        <v>15</v>
      </c>
      <c r="D749" s="83"/>
      <c r="E749" s="81">
        <f>B749*D749</f>
        <v>0</v>
      </c>
      <c r="F749" s="32"/>
    </row>
    <row r="750" spans="1:6" ht="15.75" hidden="1" customHeight="1" outlineLevel="1" x14ac:dyDescent="0.2">
      <c r="A750" s="35" t="s">
        <v>675</v>
      </c>
      <c r="B750" s="80"/>
      <c r="C750" s="80"/>
      <c r="D750" s="80"/>
      <c r="E750" s="82"/>
      <c r="F750" s="32"/>
    </row>
    <row r="751" spans="1:6" ht="22.5" hidden="1" customHeight="1" outlineLevel="2" x14ac:dyDescent="0.25">
      <c r="A751" s="33" t="s">
        <v>676</v>
      </c>
      <c r="B751" s="79">
        <v>550</v>
      </c>
      <c r="C751" s="79" t="s">
        <v>15</v>
      </c>
      <c r="D751" s="83"/>
      <c r="E751" s="81">
        <f>B751*D751</f>
        <v>0</v>
      </c>
      <c r="F751" s="32"/>
    </row>
    <row r="752" spans="1:6" ht="15.75" hidden="1" customHeight="1" outlineLevel="2" x14ac:dyDescent="0.2">
      <c r="A752" s="35" t="s">
        <v>677</v>
      </c>
      <c r="B752" s="80"/>
      <c r="C752" s="80"/>
      <c r="D752" s="80"/>
      <c r="E752" s="82"/>
      <c r="F752" s="32"/>
    </row>
    <row r="753" spans="1:6" ht="22.5" hidden="1" customHeight="1" outlineLevel="2" x14ac:dyDescent="0.25">
      <c r="A753" s="33" t="s">
        <v>678</v>
      </c>
      <c r="B753" s="79">
        <v>1350</v>
      </c>
      <c r="C753" s="79" t="s">
        <v>15</v>
      </c>
      <c r="D753" s="83"/>
      <c r="E753" s="81">
        <f>B753*D753</f>
        <v>0</v>
      </c>
      <c r="F753" s="32"/>
    </row>
    <row r="754" spans="1:6" ht="15.75" hidden="1" customHeight="1" outlineLevel="2" x14ac:dyDescent="0.2">
      <c r="A754" s="35" t="s">
        <v>679</v>
      </c>
      <c r="B754" s="80"/>
      <c r="C754" s="80"/>
      <c r="D754" s="80"/>
      <c r="E754" s="82"/>
      <c r="F754" s="32"/>
    </row>
    <row r="755" spans="1:6" ht="22.5" hidden="1" customHeight="1" outlineLevel="2" x14ac:dyDescent="0.25">
      <c r="A755" s="33" t="s">
        <v>553</v>
      </c>
      <c r="B755" s="79">
        <v>50</v>
      </c>
      <c r="C755" s="79" t="s">
        <v>36</v>
      </c>
      <c r="D755" s="83"/>
      <c r="E755" s="81">
        <f>B755*D755</f>
        <v>0</v>
      </c>
      <c r="F755" s="32"/>
    </row>
    <row r="756" spans="1:6" ht="15.75" hidden="1" customHeight="1" outlineLevel="2" x14ac:dyDescent="0.2">
      <c r="A756" s="35" t="s">
        <v>680</v>
      </c>
      <c r="B756" s="80"/>
      <c r="C756" s="80"/>
      <c r="D756" s="80"/>
      <c r="E756" s="82"/>
      <c r="F756" s="32"/>
    </row>
    <row r="757" spans="1:6" ht="22.5" hidden="1" customHeight="1" outlineLevel="2" x14ac:dyDescent="0.25">
      <c r="A757" s="33" t="s">
        <v>681</v>
      </c>
      <c r="B757" s="79">
        <v>160</v>
      </c>
      <c r="C757" s="79" t="s">
        <v>36</v>
      </c>
      <c r="D757" s="83"/>
      <c r="E757" s="81">
        <f>B757*D757</f>
        <v>0</v>
      </c>
      <c r="F757" s="32"/>
    </row>
    <row r="758" spans="1:6" ht="15.75" hidden="1" customHeight="1" outlineLevel="2" x14ac:dyDescent="0.2">
      <c r="A758" s="35" t="s">
        <v>682</v>
      </c>
      <c r="B758" s="80"/>
      <c r="C758" s="80"/>
      <c r="D758" s="80"/>
      <c r="E758" s="82"/>
      <c r="F758" s="32"/>
    </row>
    <row r="759" spans="1:6" ht="22.5" hidden="1" customHeight="1" outlineLevel="2" x14ac:dyDescent="0.25">
      <c r="A759" s="33" t="s">
        <v>683</v>
      </c>
      <c r="B759" s="79">
        <v>3</v>
      </c>
      <c r="C759" s="79" t="s">
        <v>15</v>
      </c>
      <c r="D759" s="83"/>
      <c r="E759" s="81">
        <f>B759*D759</f>
        <v>0</v>
      </c>
      <c r="F759" s="32"/>
    </row>
    <row r="760" spans="1:6" ht="15.75" hidden="1" customHeight="1" outlineLevel="2" x14ac:dyDescent="0.2">
      <c r="A760" s="35" t="s">
        <v>558</v>
      </c>
      <c r="B760" s="80"/>
      <c r="C760" s="80"/>
      <c r="D760" s="80"/>
      <c r="E760" s="82"/>
      <c r="F760" s="32"/>
    </row>
    <row r="761" spans="1:6" ht="22.5" hidden="1" customHeight="1" outlineLevel="3" x14ac:dyDescent="0.25">
      <c r="A761" s="33" t="s">
        <v>561</v>
      </c>
      <c r="B761" s="79">
        <v>150</v>
      </c>
      <c r="C761" s="79" t="s">
        <v>15</v>
      </c>
      <c r="D761" s="83"/>
      <c r="E761" s="81">
        <f>B761*D761</f>
        <v>0</v>
      </c>
      <c r="F761" s="32"/>
    </row>
    <row r="762" spans="1:6" ht="15.75" hidden="1" customHeight="1" outlineLevel="3" x14ac:dyDescent="0.2">
      <c r="A762" s="35" t="s">
        <v>562</v>
      </c>
      <c r="B762" s="80"/>
      <c r="C762" s="80"/>
      <c r="D762" s="80"/>
      <c r="E762" s="82"/>
      <c r="F762" s="32"/>
    </row>
    <row r="763" spans="1:6" ht="22.5" hidden="1" customHeight="1" outlineLevel="3" x14ac:dyDescent="0.25">
      <c r="A763" s="33" t="s">
        <v>563</v>
      </c>
      <c r="B763" s="79">
        <v>150</v>
      </c>
      <c r="C763" s="79" t="s">
        <v>15</v>
      </c>
      <c r="D763" s="83"/>
      <c r="E763" s="81">
        <f>B763*D763</f>
        <v>0</v>
      </c>
      <c r="F763" s="32"/>
    </row>
    <row r="764" spans="1:6" ht="15.75" hidden="1" customHeight="1" outlineLevel="3" x14ac:dyDescent="0.2">
      <c r="A764" s="35" t="s">
        <v>564</v>
      </c>
      <c r="B764" s="80"/>
      <c r="C764" s="80"/>
      <c r="D764" s="80"/>
      <c r="E764" s="82"/>
      <c r="F764" s="32"/>
    </row>
    <row r="765" spans="1:6" ht="22.5" hidden="1" customHeight="1" outlineLevel="3" x14ac:dyDescent="0.25">
      <c r="A765" s="33" t="s">
        <v>565</v>
      </c>
      <c r="B765" s="79">
        <v>250</v>
      </c>
      <c r="C765" s="79" t="s">
        <v>15</v>
      </c>
      <c r="D765" s="83"/>
      <c r="E765" s="81">
        <f>B765*D765</f>
        <v>0</v>
      </c>
      <c r="F765" s="32"/>
    </row>
    <row r="766" spans="1:6" ht="15.75" hidden="1" customHeight="1" outlineLevel="3" x14ac:dyDescent="0.2">
      <c r="A766" s="35" t="s">
        <v>564</v>
      </c>
      <c r="B766" s="80"/>
      <c r="C766" s="80"/>
      <c r="D766" s="80"/>
      <c r="E766" s="82"/>
      <c r="F766" s="32"/>
    </row>
    <row r="767" spans="1:6" ht="22.5" hidden="1" customHeight="1" outlineLevel="3" x14ac:dyDescent="0.25">
      <c r="A767" s="33" t="s">
        <v>581</v>
      </c>
      <c r="B767" s="79">
        <v>28</v>
      </c>
      <c r="C767" s="79" t="s">
        <v>38</v>
      </c>
      <c r="D767" s="83"/>
      <c r="E767" s="81">
        <f>B767*D767</f>
        <v>0</v>
      </c>
      <c r="F767" s="76" t="s">
        <v>684</v>
      </c>
    </row>
    <row r="768" spans="1:6" ht="15.75" hidden="1" customHeight="1" outlineLevel="3" x14ac:dyDescent="0.2">
      <c r="A768" s="35" t="s">
        <v>685</v>
      </c>
      <c r="B768" s="80"/>
      <c r="C768" s="80"/>
      <c r="D768" s="80"/>
      <c r="E768" s="82"/>
      <c r="F768" s="78"/>
    </row>
    <row r="769" spans="1:6" ht="22.5" hidden="1" customHeight="1" outlineLevel="3" x14ac:dyDescent="0.25">
      <c r="A769" s="33" t="s">
        <v>583</v>
      </c>
      <c r="B769" s="79">
        <v>36</v>
      </c>
      <c r="C769" s="79" t="s">
        <v>38</v>
      </c>
      <c r="D769" s="83"/>
      <c r="E769" s="81">
        <f>B769*D769</f>
        <v>0</v>
      </c>
      <c r="F769" s="76" t="s">
        <v>761</v>
      </c>
    </row>
    <row r="770" spans="1:6" ht="15.75" hidden="1" customHeight="1" outlineLevel="3" x14ac:dyDescent="0.2">
      <c r="A770" s="35" t="s">
        <v>584</v>
      </c>
      <c r="B770" s="80"/>
      <c r="C770" s="80"/>
      <c r="D770" s="80"/>
      <c r="E770" s="82"/>
      <c r="F770" s="78"/>
    </row>
    <row r="771" spans="1:6" ht="22.5" hidden="1" customHeight="1" outlineLevel="3" x14ac:dyDescent="0.25">
      <c r="A771" s="33" t="s">
        <v>585</v>
      </c>
      <c r="B771" s="79">
        <v>6</v>
      </c>
      <c r="C771" s="79" t="s">
        <v>38</v>
      </c>
      <c r="D771" s="83"/>
      <c r="E771" s="81">
        <f>B771*D771</f>
        <v>0</v>
      </c>
      <c r="F771" s="91" t="s">
        <v>687</v>
      </c>
    </row>
    <row r="772" spans="1:6" ht="15.75" hidden="1" customHeight="1" outlineLevel="3" x14ac:dyDescent="0.2">
      <c r="A772" s="35" t="s">
        <v>586</v>
      </c>
      <c r="B772" s="80"/>
      <c r="C772" s="80"/>
      <c r="D772" s="80"/>
      <c r="E772" s="82"/>
      <c r="F772" s="78"/>
    </row>
    <row r="773" spans="1:6" ht="22.5" hidden="1" customHeight="1" outlineLevel="2" x14ac:dyDescent="0.25">
      <c r="A773" s="33" t="s">
        <v>589</v>
      </c>
      <c r="B773" s="79">
        <v>25</v>
      </c>
      <c r="C773" s="79" t="s">
        <v>38</v>
      </c>
      <c r="D773" s="83"/>
      <c r="E773" s="81">
        <f>B773*D773</f>
        <v>0</v>
      </c>
      <c r="F773" s="32"/>
    </row>
    <row r="774" spans="1:6" ht="15.75" hidden="1" customHeight="1" outlineLevel="2" x14ac:dyDescent="0.2">
      <c r="A774" s="35" t="s">
        <v>590</v>
      </c>
      <c r="B774" s="80"/>
      <c r="C774" s="80"/>
      <c r="D774" s="80"/>
      <c r="E774" s="82"/>
      <c r="F774" s="32"/>
    </row>
    <row r="775" spans="1:6" ht="22.5" hidden="1" customHeight="1" outlineLevel="2" x14ac:dyDescent="0.25">
      <c r="A775" s="33" t="s">
        <v>591</v>
      </c>
      <c r="B775" s="79">
        <v>150</v>
      </c>
      <c r="C775" s="79" t="s">
        <v>15</v>
      </c>
      <c r="D775" s="83"/>
      <c r="E775" s="81">
        <f>B775*D775</f>
        <v>0</v>
      </c>
      <c r="F775" s="32"/>
    </row>
    <row r="776" spans="1:6" ht="15.75" hidden="1" customHeight="1" outlineLevel="2" x14ac:dyDescent="0.2">
      <c r="A776" s="35" t="s">
        <v>592</v>
      </c>
      <c r="B776" s="80"/>
      <c r="C776" s="80"/>
      <c r="D776" s="80"/>
      <c r="E776" s="82"/>
      <c r="F776" s="32"/>
    </row>
    <row r="777" spans="1:6" ht="22.5" hidden="1" customHeight="1" outlineLevel="2" x14ac:dyDescent="0.25">
      <c r="A777" s="33" t="s">
        <v>688</v>
      </c>
      <c r="B777" s="79">
        <v>25</v>
      </c>
      <c r="C777" s="79" t="s">
        <v>38</v>
      </c>
      <c r="D777" s="83"/>
      <c r="E777" s="81">
        <f>B777*D777</f>
        <v>0</v>
      </c>
      <c r="F777" s="32"/>
    </row>
    <row r="778" spans="1:6" ht="15.75" hidden="1" customHeight="1" outlineLevel="2" x14ac:dyDescent="0.2">
      <c r="A778" s="35" t="s">
        <v>596</v>
      </c>
      <c r="B778" s="80"/>
      <c r="C778" s="80"/>
      <c r="D778" s="80"/>
      <c r="E778" s="82"/>
      <c r="F778" s="32"/>
    </row>
    <row r="779" spans="1:6" ht="22.5" hidden="1" customHeight="1" outlineLevel="2" x14ac:dyDescent="0.25">
      <c r="A779" s="33" t="s">
        <v>601</v>
      </c>
      <c r="B779" s="79">
        <v>500</v>
      </c>
      <c r="C779" s="79" t="s">
        <v>15</v>
      </c>
      <c r="D779" s="83"/>
      <c r="E779" s="81">
        <f>B779*D779</f>
        <v>0</v>
      </c>
      <c r="F779" s="32"/>
    </row>
    <row r="780" spans="1:6" ht="15.75" hidden="1" customHeight="1" outlineLevel="2" x14ac:dyDescent="0.2">
      <c r="A780" s="35" t="s">
        <v>602</v>
      </c>
      <c r="B780" s="80"/>
      <c r="C780" s="80"/>
      <c r="D780" s="80"/>
      <c r="E780" s="82"/>
      <c r="F780" s="32"/>
    </row>
    <row r="781" spans="1:6" ht="22.5" hidden="1" customHeight="1" outlineLevel="2" x14ac:dyDescent="0.25">
      <c r="A781" s="33" t="s">
        <v>689</v>
      </c>
      <c r="B781" s="79">
        <v>250</v>
      </c>
      <c r="C781" s="79" t="s">
        <v>15</v>
      </c>
      <c r="D781" s="83"/>
      <c r="E781" s="81">
        <f>B781*D781</f>
        <v>0</v>
      </c>
      <c r="F781" s="32"/>
    </row>
    <row r="782" spans="1:6" ht="15.75" hidden="1" customHeight="1" outlineLevel="2" x14ac:dyDescent="0.2">
      <c r="A782" s="35" t="s">
        <v>690</v>
      </c>
      <c r="B782" s="80"/>
      <c r="C782" s="80"/>
      <c r="D782" s="80"/>
      <c r="E782" s="82"/>
      <c r="F782" s="32"/>
    </row>
    <row r="783" spans="1:6" ht="22.5" customHeight="1" collapsed="1" x14ac:dyDescent="0.2">
      <c r="A783" s="89" t="s">
        <v>691</v>
      </c>
      <c r="B783" s="87"/>
      <c r="C783" s="87"/>
      <c r="D783" s="88"/>
      <c r="E783" s="38"/>
      <c r="F783" s="45">
        <f>SUM(E784:E831)</f>
        <v>0</v>
      </c>
    </row>
    <row r="784" spans="1:6" ht="22.5" hidden="1" customHeight="1" outlineLevel="1" x14ac:dyDescent="0.25">
      <c r="A784" s="33" t="s">
        <v>692</v>
      </c>
      <c r="B784" s="79">
        <v>500</v>
      </c>
      <c r="C784" s="79" t="s">
        <v>15</v>
      </c>
      <c r="D784" s="83"/>
      <c r="E784" s="81">
        <f>B784*D784</f>
        <v>0</v>
      </c>
      <c r="F784" s="32"/>
    </row>
    <row r="785" spans="1:6" ht="15.75" hidden="1" customHeight="1" outlineLevel="1" x14ac:dyDescent="0.2">
      <c r="A785" s="35" t="s">
        <v>693</v>
      </c>
      <c r="B785" s="80"/>
      <c r="C785" s="80"/>
      <c r="D785" s="80"/>
      <c r="E785" s="82"/>
      <c r="F785" s="32"/>
    </row>
    <row r="786" spans="1:6" ht="22.5" hidden="1" customHeight="1" outlineLevel="1" x14ac:dyDescent="0.25">
      <c r="A786" s="33" t="s">
        <v>694</v>
      </c>
      <c r="B786" s="79">
        <v>700</v>
      </c>
      <c r="C786" s="79" t="s">
        <v>15</v>
      </c>
      <c r="D786" s="83"/>
      <c r="E786" s="81">
        <f>B786*D786</f>
        <v>0</v>
      </c>
      <c r="F786" s="32"/>
    </row>
    <row r="787" spans="1:6" ht="15.75" hidden="1" customHeight="1" outlineLevel="1" x14ac:dyDescent="0.2">
      <c r="A787" s="35" t="s">
        <v>695</v>
      </c>
      <c r="B787" s="80"/>
      <c r="C787" s="80"/>
      <c r="D787" s="80"/>
      <c r="E787" s="82"/>
      <c r="F787" s="32"/>
    </row>
    <row r="788" spans="1:6" ht="22.5" hidden="1" customHeight="1" outlineLevel="1" x14ac:dyDescent="0.25">
      <c r="A788" s="33" t="s">
        <v>696</v>
      </c>
      <c r="B788" s="79">
        <v>18</v>
      </c>
      <c r="C788" s="79" t="s">
        <v>38</v>
      </c>
      <c r="D788" s="83"/>
      <c r="E788" s="81">
        <f>B788*D788</f>
        <v>0</v>
      </c>
      <c r="F788" s="76" t="s">
        <v>697</v>
      </c>
    </row>
    <row r="789" spans="1:6" ht="15.75" hidden="1" customHeight="1" outlineLevel="1" x14ac:dyDescent="0.2">
      <c r="A789" s="35" t="s">
        <v>698</v>
      </c>
      <c r="B789" s="80"/>
      <c r="C789" s="80"/>
      <c r="D789" s="80"/>
      <c r="E789" s="82"/>
      <c r="F789" s="78"/>
    </row>
    <row r="790" spans="1:6" ht="22.5" hidden="1" customHeight="1" outlineLevel="2" x14ac:dyDescent="0.25">
      <c r="A790" s="33" t="s">
        <v>699</v>
      </c>
      <c r="B790" s="79">
        <v>26</v>
      </c>
      <c r="C790" s="79" t="s">
        <v>38</v>
      </c>
      <c r="D790" s="83"/>
      <c r="E790" s="81">
        <f>B790*D790</f>
        <v>0</v>
      </c>
      <c r="F790" s="76" t="s">
        <v>762</v>
      </c>
    </row>
    <row r="791" spans="1:6" ht="15.75" hidden="1" customHeight="1" outlineLevel="2" x14ac:dyDescent="0.2">
      <c r="A791" s="35" t="s">
        <v>701</v>
      </c>
      <c r="B791" s="80"/>
      <c r="C791" s="80"/>
      <c r="D791" s="80"/>
      <c r="E791" s="82"/>
      <c r="F791" s="78"/>
    </row>
    <row r="792" spans="1:6" ht="22.5" hidden="1" customHeight="1" outlineLevel="1" x14ac:dyDescent="0.25">
      <c r="A792" s="33" t="s">
        <v>702</v>
      </c>
      <c r="B792" s="79">
        <v>6</v>
      </c>
      <c r="C792" s="79" t="s">
        <v>38</v>
      </c>
      <c r="D792" s="83">
        <f>D788*1.2</f>
        <v>0</v>
      </c>
      <c r="E792" s="81">
        <f>B792*D792</f>
        <v>0</v>
      </c>
      <c r="F792" s="32"/>
    </row>
    <row r="793" spans="1:6" ht="15.75" hidden="1" customHeight="1" outlineLevel="1" x14ac:dyDescent="0.2">
      <c r="A793" s="35" t="s">
        <v>703</v>
      </c>
      <c r="B793" s="80"/>
      <c r="C793" s="80"/>
      <c r="D793" s="80"/>
      <c r="E793" s="82"/>
      <c r="F793" s="32"/>
    </row>
    <row r="794" spans="1:6" ht="22.5" hidden="1" customHeight="1" outlineLevel="1" x14ac:dyDescent="0.25">
      <c r="A794" s="33" t="s">
        <v>704</v>
      </c>
      <c r="B794" s="79">
        <v>18</v>
      </c>
      <c r="C794" s="79" t="s">
        <v>38</v>
      </c>
      <c r="D794" s="83"/>
      <c r="E794" s="81">
        <f>B794*D794</f>
        <v>0</v>
      </c>
      <c r="F794" s="76" t="s">
        <v>705</v>
      </c>
    </row>
    <row r="795" spans="1:6" ht="15.75" hidden="1" customHeight="1" outlineLevel="1" x14ac:dyDescent="0.2">
      <c r="A795" s="35" t="s">
        <v>706</v>
      </c>
      <c r="B795" s="80"/>
      <c r="C795" s="80"/>
      <c r="D795" s="80"/>
      <c r="E795" s="82"/>
      <c r="F795" s="78"/>
    </row>
    <row r="796" spans="1:6" ht="22.5" hidden="1" customHeight="1" outlineLevel="2" x14ac:dyDescent="0.25">
      <c r="A796" s="33" t="s">
        <v>707</v>
      </c>
      <c r="B796" s="79">
        <v>26</v>
      </c>
      <c r="C796" s="79" t="s">
        <v>38</v>
      </c>
      <c r="D796" s="83"/>
      <c r="E796" s="81">
        <f>B796*D796</f>
        <v>0</v>
      </c>
      <c r="F796" s="76" t="s">
        <v>763</v>
      </c>
    </row>
    <row r="797" spans="1:6" ht="15.75" hidden="1" customHeight="1" outlineLevel="2" x14ac:dyDescent="0.2">
      <c r="A797" s="35" t="s">
        <v>709</v>
      </c>
      <c r="B797" s="80"/>
      <c r="C797" s="80"/>
      <c r="D797" s="80"/>
      <c r="E797" s="82"/>
      <c r="F797" s="78"/>
    </row>
    <row r="798" spans="1:6" ht="22.5" hidden="1" customHeight="1" outlineLevel="1" x14ac:dyDescent="0.25">
      <c r="A798" s="33" t="s">
        <v>710</v>
      </c>
      <c r="B798" s="79">
        <v>15</v>
      </c>
      <c r="C798" s="79" t="s">
        <v>38</v>
      </c>
      <c r="D798" s="83">
        <f>D794*1.2</f>
        <v>0</v>
      </c>
      <c r="E798" s="81">
        <f>B798*D798</f>
        <v>0</v>
      </c>
      <c r="F798" s="91" t="s">
        <v>711</v>
      </c>
    </row>
    <row r="799" spans="1:6" ht="15.75" hidden="1" customHeight="1" outlineLevel="1" x14ac:dyDescent="0.2">
      <c r="A799" s="35" t="s">
        <v>712</v>
      </c>
      <c r="B799" s="80"/>
      <c r="C799" s="80"/>
      <c r="D799" s="80"/>
      <c r="E799" s="82"/>
      <c r="F799" s="78"/>
    </row>
    <row r="800" spans="1:6" ht="22.5" hidden="1" customHeight="1" outlineLevel="1" x14ac:dyDescent="0.25">
      <c r="A800" s="33" t="s">
        <v>713</v>
      </c>
      <c r="B800" s="79">
        <v>1000</v>
      </c>
      <c r="C800" s="79" t="s">
        <v>15</v>
      </c>
      <c r="D800" s="83"/>
      <c r="E800" s="81">
        <f>B800*D800</f>
        <v>0</v>
      </c>
      <c r="F800" s="32"/>
    </row>
    <row r="801" spans="1:6" ht="15.75" hidden="1" customHeight="1" outlineLevel="1" x14ac:dyDescent="0.2">
      <c r="A801" s="35" t="s">
        <v>714</v>
      </c>
      <c r="B801" s="80"/>
      <c r="C801" s="80"/>
      <c r="D801" s="80"/>
      <c r="E801" s="82"/>
      <c r="F801" s="32"/>
    </row>
    <row r="802" spans="1:6" ht="22.5" hidden="1" customHeight="1" outlineLevel="1" x14ac:dyDescent="0.25">
      <c r="A802" s="33" t="s">
        <v>715</v>
      </c>
      <c r="B802" s="79">
        <v>550</v>
      </c>
      <c r="C802" s="79" t="s">
        <v>15</v>
      </c>
      <c r="D802" s="83"/>
      <c r="E802" s="81">
        <f>B802*D802</f>
        <v>0</v>
      </c>
      <c r="F802" s="32"/>
    </row>
    <row r="803" spans="1:6" ht="15.75" hidden="1" customHeight="1" outlineLevel="1" x14ac:dyDescent="0.2">
      <c r="A803" s="35" t="s">
        <v>716</v>
      </c>
      <c r="B803" s="80"/>
      <c r="C803" s="80"/>
      <c r="D803" s="80"/>
      <c r="E803" s="82"/>
      <c r="F803" s="32"/>
    </row>
    <row r="804" spans="1:6" ht="22.5" hidden="1" customHeight="1" outlineLevel="2" x14ac:dyDescent="0.25">
      <c r="A804" s="33" t="s">
        <v>717</v>
      </c>
      <c r="B804" s="79">
        <v>45</v>
      </c>
      <c r="C804" s="79" t="s">
        <v>38</v>
      </c>
      <c r="D804" s="83"/>
      <c r="E804" s="81">
        <f>B804*D804</f>
        <v>0</v>
      </c>
      <c r="F804" s="32"/>
    </row>
    <row r="805" spans="1:6" ht="15.75" hidden="1" customHeight="1" outlineLevel="2" x14ac:dyDescent="0.2">
      <c r="A805" s="35" t="s">
        <v>718</v>
      </c>
      <c r="B805" s="80"/>
      <c r="C805" s="80"/>
      <c r="D805" s="80"/>
      <c r="E805" s="82"/>
      <c r="F805" s="32"/>
    </row>
    <row r="806" spans="1:6" ht="22.5" hidden="1" customHeight="1" outlineLevel="2" x14ac:dyDescent="0.25">
      <c r="A806" s="33" t="s">
        <v>719</v>
      </c>
      <c r="B806" s="79">
        <v>100</v>
      </c>
      <c r="C806" s="79" t="s">
        <v>15</v>
      </c>
      <c r="D806" s="83"/>
      <c r="E806" s="81">
        <f>B806*D806</f>
        <v>0</v>
      </c>
      <c r="F806" s="32"/>
    </row>
    <row r="807" spans="1:6" ht="15.75" hidden="1" customHeight="1" outlineLevel="2" x14ac:dyDescent="0.2">
      <c r="A807" s="35" t="s">
        <v>720</v>
      </c>
      <c r="B807" s="80"/>
      <c r="C807" s="80"/>
      <c r="D807" s="80"/>
      <c r="E807" s="82"/>
      <c r="F807" s="32"/>
    </row>
    <row r="808" spans="1:6" ht="22.5" hidden="1" customHeight="1" outlineLevel="2" x14ac:dyDescent="0.25">
      <c r="A808" s="33" t="s">
        <v>721</v>
      </c>
      <c r="B808" s="79">
        <v>50</v>
      </c>
      <c r="C808" s="79" t="s">
        <v>15</v>
      </c>
      <c r="D808" s="83"/>
      <c r="E808" s="81">
        <f>B808*D808</f>
        <v>0</v>
      </c>
      <c r="F808" s="32"/>
    </row>
    <row r="809" spans="1:6" ht="15.75" hidden="1" customHeight="1" outlineLevel="2" x14ac:dyDescent="0.2">
      <c r="A809" s="35" t="s">
        <v>722</v>
      </c>
      <c r="B809" s="80"/>
      <c r="C809" s="80"/>
      <c r="D809" s="80"/>
      <c r="E809" s="82"/>
      <c r="F809" s="32"/>
    </row>
    <row r="810" spans="1:6" ht="22.5" hidden="1" customHeight="1" outlineLevel="2" x14ac:dyDescent="0.25">
      <c r="A810" s="33" t="s">
        <v>723</v>
      </c>
      <c r="B810" s="79">
        <v>50</v>
      </c>
      <c r="C810" s="79" t="s">
        <v>15</v>
      </c>
      <c r="D810" s="83"/>
      <c r="E810" s="81">
        <f>B810*D810</f>
        <v>0</v>
      </c>
      <c r="F810" s="32"/>
    </row>
    <row r="811" spans="1:6" ht="15.75" hidden="1" customHeight="1" outlineLevel="2" x14ac:dyDescent="0.2">
      <c r="A811" s="35" t="s">
        <v>724</v>
      </c>
      <c r="B811" s="80"/>
      <c r="C811" s="80"/>
      <c r="D811" s="80"/>
      <c r="E811" s="82"/>
      <c r="F811" s="32"/>
    </row>
    <row r="812" spans="1:6" ht="22.5" hidden="1" customHeight="1" outlineLevel="2" x14ac:dyDescent="0.25">
      <c r="A812" s="33" t="s">
        <v>725</v>
      </c>
      <c r="B812" s="79">
        <v>305</v>
      </c>
      <c r="C812" s="79" t="s">
        <v>15</v>
      </c>
      <c r="D812" s="83"/>
      <c r="E812" s="81">
        <f>B812*D812</f>
        <v>0</v>
      </c>
      <c r="F812" s="32"/>
    </row>
    <row r="813" spans="1:6" ht="15.75" hidden="1" customHeight="1" outlineLevel="2" x14ac:dyDescent="0.2">
      <c r="A813" s="35" t="s">
        <v>726</v>
      </c>
      <c r="B813" s="80"/>
      <c r="C813" s="80"/>
      <c r="D813" s="80"/>
      <c r="E813" s="82"/>
      <c r="F813" s="32"/>
    </row>
    <row r="814" spans="1:6" ht="22.5" hidden="1" customHeight="1" outlineLevel="2" x14ac:dyDescent="0.25">
      <c r="A814" s="33" t="s">
        <v>727</v>
      </c>
      <c r="B814" s="79">
        <v>510</v>
      </c>
      <c r="C814" s="79" t="s">
        <v>15</v>
      </c>
      <c r="D814" s="83"/>
      <c r="E814" s="81">
        <f>B814*D814</f>
        <v>0</v>
      </c>
      <c r="F814" s="32"/>
    </row>
    <row r="815" spans="1:6" ht="15.75" hidden="1" customHeight="1" outlineLevel="2" x14ac:dyDescent="0.2">
      <c r="A815" s="35" t="s">
        <v>728</v>
      </c>
      <c r="B815" s="80"/>
      <c r="C815" s="80"/>
      <c r="D815" s="80"/>
      <c r="E815" s="82"/>
      <c r="F815" s="32"/>
    </row>
    <row r="816" spans="1:6" ht="22.5" hidden="1" customHeight="1" outlineLevel="1" x14ac:dyDescent="0.25">
      <c r="A816" s="33" t="s">
        <v>729</v>
      </c>
      <c r="B816" s="79">
        <v>500</v>
      </c>
      <c r="C816" s="79" t="s">
        <v>15</v>
      </c>
      <c r="D816" s="83"/>
      <c r="E816" s="81">
        <f>B816*D816</f>
        <v>0</v>
      </c>
      <c r="F816" s="32"/>
    </row>
    <row r="817" spans="1:6" ht="15.75" hidden="1" customHeight="1" outlineLevel="1" x14ac:dyDescent="0.2">
      <c r="A817" s="35" t="s">
        <v>730</v>
      </c>
      <c r="B817" s="80"/>
      <c r="C817" s="80"/>
      <c r="D817" s="80"/>
      <c r="E817" s="82"/>
      <c r="F817" s="32"/>
    </row>
    <row r="818" spans="1:6" ht="22.5" hidden="1" customHeight="1" outlineLevel="2" x14ac:dyDescent="0.25">
      <c r="A818" s="33" t="s">
        <v>731</v>
      </c>
      <c r="B818" s="79">
        <v>500</v>
      </c>
      <c r="C818" s="79" t="s">
        <v>15</v>
      </c>
      <c r="D818" s="83"/>
      <c r="E818" s="81">
        <f>B818*D818</f>
        <v>0</v>
      </c>
      <c r="F818" s="32"/>
    </row>
    <row r="819" spans="1:6" ht="15.75" hidden="1" customHeight="1" outlineLevel="2" x14ac:dyDescent="0.2">
      <c r="A819" s="35" t="s">
        <v>732</v>
      </c>
      <c r="B819" s="80"/>
      <c r="C819" s="80"/>
      <c r="D819" s="80"/>
      <c r="E819" s="82"/>
      <c r="F819" s="32"/>
    </row>
    <row r="820" spans="1:6" ht="22.5" hidden="1" customHeight="1" outlineLevel="1" x14ac:dyDescent="0.25">
      <c r="A820" s="33" t="s">
        <v>733</v>
      </c>
      <c r="B820" s="79">
        <v>500</v>
      </c>
      <c r="C820" s="79" t="s">
        <v>15</v>
      </c>
      <c r="D820" s="83"/>
      <c r="E820" s="81">
        <f>B820*D820</f>
        <v>0</v>
      </c>
      <c r="F820" s="32"/>
    </row>
    <row r="821" spans="1:6" ht="15.75" hidden="1" customHeight="1" outlineLevel="1" x14ac:dyDescent="0.2">
      <c r="A821" s="35" t="s">
        <v>734</v>
      </c>
      <c r="B821" s="80"/>
      <c r="C821" s="80"/>
      <c r="D821" s="80"/>
      <c r="E821" s="82"/>
      <c r="F821" s="32"/>
    </row>
    <row r="822" spans="1:6" ht="22.5" hidden="1" customHeight="1" outlineLevel="2" x14ac:dyDescent="0.25">
      <c r="A822" s="33" t="s">
        <v>735</v>
      </c>
      <c r="B822" s="79">
        <v>350</v>
      </c>
      <c r="C822" s="79" t="s">
        <v>15</v>
      </c>
      <c r="D822" s="83"/>
      <c r="E822" s="81">
        <f>B822*D822</f>
        <v>0</v>
      </c>
      <c r="F822" s="32"/>
    </row>
    <row r="823" spans="1:6" ht="15.75" hidden="1" customHeight="1" outlineLevel="2" x14ac:dyDescent="0.2">
      <c r="A823" s="35" t="s">
        <v>736</v>
      </c>
      <c r="B823" s="80"/>
      <c r="C823" s="80"/>
      <c r="D823" s="80"/>
      <c r="E823" s="82"/>
      <c r="F823" s="32"/>
    </row>
    <row r="824" spans="1:6" ht="22.5" hidden="1" customHeight="1" outlineLevel="2" x14ac:dyDescent="0.25">
      <c r="A824" s="33" t="s">
        <v>737</v>
      </c>
      <c r="B824" s="79">
        <v>400</v>
      </c>
      <c r="C824" s="79" t="s">
        <v>15</v>
      </c>
      <c r="D824" s="83"/>
      <c r="E824" s="81">
        <f>B824*D824</f>
        <v>0</v>
      </c>
      <c r="F824" s="32"/>
    </row>
    <row r="825" spans="1:6" ht="15.75" hidden="1" customHeight="1" outlineLevel="2" x14ac:dyDescent="0.2">
      <c r="A825" s="35" t="s">
        <v>738</v>
      </c>
      <c r="B825" s="80"/>
      <c r="C825" s="80"/>
      <c r="D825" s="80"/>
      <c r="E825" s="82"/>
      <c r="F825" s="32"/>
    </row>
    <row r="826" spans="1:6" ht="22.5" hidden="1" customHeight="1" outlineLevel="2" x14ac:dyDescent="0.25">
      <c r="A826" s="33" t="s">
        <v>739</v>
      </c>
      <c r="B826" s="79">
        <v>700</v>
      </c>
      <c r="C826" s="79" t="s">
        <v>15</v>
      </c>
      <c r="D826" s="83"/>
      <c r="E826" s="81">
        <f>B826*D826</f>
        <v>0</v>
      </c>
      <c r="F826" s="32"/>
    </row>
    <row r="827" spans="1:6" ht="15.75" hidden="1" customHeight="1" outlineLevel="2" x14ac:dyDescent="0.2">
      <c r="A827" s="35" t="s">
        <v>740</v>
      </c>
      <c r="B827" s="80"/>
      <c r="C827" s="80"/>
      <c r="D827" s="80"/>
      <c r="E827" s="82"/>
      <c r="F827" s="32"/>
    </row>
    <row r="828" spans="1:6" ht="22.5" hidden="1" customHeight="1" outlineLevel="2" x14ac:dyDescent="0.25">
      <c r="A828" s="33" t="s">
        <v>741</v>
      </c>
      <c r="B828" s="79">
        <v>200</v>
      </c>
      <c r="C828" s="79" t="s">
        <v>15</v>
      </c>
      <c r="D828" s="83"/>
      <c r="E828" s="81">
        <f>B828*D828</f>
        <v>0</v>
      </c>
      <c r="F828" s="32"/>
    </row>
    <row r="829" spans="1:6" ht="15.75" hidden="1" customHeight="1" outlineLevel="2" x14ac:dyDescent="0.2">
      <c r="A829" s="35" t="s">
        <v>742</v>
      </c>
      <c r="B829" s="80"/>
      <c r="C829" s="80"/>
      <c r="D829" s="80"/>
      <c r="E829" s="82"/>
      <c r="F829" s="32"/>
    </row>
    <row r="830" spans="1:6" ht="22.5" hidden="1" customHeight="1" outlineLevel="2" x14ac:dyDescent="0.25">
      <c r="A830" s="33" t="s">
        <v>743</v>
      </c>
      <c r="B830" s="79">
        <v>400</v>
      </c>
      <c r="C830" s="79" t="s">
        <v>15</v>
      </c>
      <c r="D830" s="83"/>
      <c r="E830" s="81">
        <f>B830*D830</f>
        <v>0</v>
      </c>
      <c r="F830" s="32"/>
    </row>
    <row r="831" spans="1:6" ht="15.75" hidden="1" customHeight="1" outlineLevel="2" x14ac:dyDescent="0.2">
      <c r="A831" s="35" t="s">
        <v>744</v>
      </c>
      <c r="B831" s="80"/>
      <c r="C831" s="80"/>
      <c r="D831" s="80"/>
      <c r="E831" s="82"/>
      <c r="F831" s="32"/>
    </row>
    <row r="832" spans="1:6" ht="22.5" customHeight="1" collapsed="1" x14ac:dyDescent="0.2">
      <c r="A832" s="89" t="s">
        <v>745</v>
      </c>
      <c r="B832" s="87"/>
      <c r="C832" s="87"/>
      <c r="D832" s="88"/>
      <c r="E832" s="38"/>
      <c r="F832" s="45">
        <f>SUM(E833:E850)</f>
        <v>0</v>
      </c>
    </row>
    <row r="833" spans="1:6" ht="22.5" hidden="1" customHeight="1" outlineLevel="1" x14ac:dyDescent="0.25">
      <c r="A833" s="33" t="s">
        <v>746</v>
      </c>
      <c r="B833" s="79">
        <v>500</v>
      </c>
      <c r="C833" s="79" t="s">
        <v>15</v>
      </c>
      <c r="D833" s="83"/>
      <c r="E833" s="81">
        <f>B833*D833</f>
        <v>0</v>
      </c>
      <c r="F833" s="32"/>
    </row>
    <row r="834" spans="1:6" ht="15.75" hidden="1" customHeight="1" outlineLevel="1" x14ac:dyDescent="0.2">
      <c r="A834" s="35" t="s">
        <v>747</v>
      </c>
      <c r="B834" s="80"/>
      <c r="C834" s="80"/>
      <c r="D834" s="80"/>
      <c r="E834" s="82"/>
      <c r="F834" s="32"/>
    </row>
    <row r="835" spans="1:6" ht="22.5" hidden="1" customHeight="1" outlineLevel="2" x14ac:dyDescent="0.25">
      <c r="A835" s="33" t="s">
        <v>748</v>
      </c>
      <c r="B835" s="79">
        <v>90</v>
      </c>
      <c r="C835" s="79" t="s">
        <v>15</v>
      </c>
      <c r="D835" s="83"/>
      <c r="E835" s="81">
        <f>B835*D835</f>
        <v>0</v>
      </c>
      <c r="F835" s="32"/>
    </row>
    <row r="836" spans="1:6" ht="15.75" hidden="1" customHeight="1" outlineLevel="2" x14ac:dyDescent="0.2">
      <c r="A836" s="35" t="s">
        <v>749</v>
      </c>
      <c r="B836" s="80"/>
      <c r="C836" s="80"/>
      <c r="D836" s="80"/>
      <c r="E836" s="82"/>
      <c r="F836" s="32"/>
    </row>
    <row r="837" spans="1:6" ht="22.5" hidden="1" customHeight="1" outlineLevel="2" x14ac:dyDescent="0.25">
      <c r="A837" s="33" t="s">
        <v>750</v>
      </c>
      <c r="B837" s="79">
        <v>110</v>
      </c>
      <c r="C837" s="79" t="s">
        <v>15</v>
      </c>
      <c r="D837" s="83"/>
      <c r="E837" s="81">
        <f>B837*D837</f>
        <v>0</v>
      </c>
      <c r="F837" s="32"/>
    </row>
    <row r="838" spans="1:6" ht="15.75" hidden="1" customHeight="1" outlineLevel="2" x14ac:dyDescent="0.2">
      <c r="A838" s="35" t="s">
        <v>751</v>
      </c>
      <c r="B838" s="80"/>
      <c r="C838" s="80"/>
      <c r="D838" s="80"/>
      <c r="E838" s="82"/>
      <c r="F838" s="32"/>
    </row>
    <row r="839" spans="1:6" ht="22.5" hidden="1" customHeight="1" outlineLevel="1" x14ac:dyDescent="0.25">
      <c r="A839" s="33" t="s">
        <v>752</v>
      </c>
      <c r="B839" s="79">
        <v>80</v>
      </c>
      <c r="C839" s="79" t="s">
        <v>15</v>
      </c>
      <c r="D839" s="83"/>
      <c r="E839" s="81">
        <f>B839*D839</f>
        <v>0</v>
      </c>
      <c r="F839" s="32"/>
    </row>
    <row r="840" spans="1:6" ht="15.75" hidden="1" customHeight="1" outlineLevel="1" x14ac:dyDescent="0.2">
      <c r="A840" s="35" t="s">
        <v>753</v>
      </c>
      <c r="B840" s="80"/>
      <c r="C840" s="80"/>
      <c r="D840" s="80"/>
      <c r="E840" s="82"/>
      <c r="F840" s="32"/>
    </row>
    <row r="841" spans="1:6" ht="22.5" hidden="1" customHeight="1" outlineLevel="2" x14ac:dyDescent="0.25">
      <c r="A841" s="33" t="s">
        <v>754</v>
      </c>
      <c r="B841" s="79">
        <v>65</v>
      </c>
      <c r="C841" s="79" t="s">
        <v>15</v>
      </c>
      <c r="D841" s="83"/>
      <c r="E841" s="81">
        <f>B841*D841</f>
        <v>0</v>
      </c>
      <c r="F841" s="32"/>
    </row>
    <row r="842" spans="1:6" ht="15.75" hidden="1" customHeight="1" outlineLevel="2" x14ac:dyDescent="0.2">
      <c r="A842" s="35" t="s">
        <v>755</v>
      </c>
      <c r="B842" s="80"/>
      <c r="C842" s="80"/>
      <c r="D842" s="80"/>
      <c r="E842" s="82"/>
      <c r="F842" s="32"/>
    </row>
    <row r="843" spans="1:6" ht="22.5" hidden="1" customHeight="1" outlineLevel="1" x14ac:dyDescent="0.25">
      <c r="A843" s="33" t="s">
        <v>756</v>
      </c>
      <c r="B843" s="79">
        <v>50</v>
      </c>
      <c r="C843" s="79" t="s">
        <v>15</v>
      </c>
      <c r="D843" s="83"/>
      <c r="E843" s="81">
        <f>B843*D843</f>
        <v>0</v>
      </c>
      <c r="F843" s="32"/>
    </row>
    <row r="844" spans="1:6" ht="15.75" hidden="1" customHeight="1" outlineLevel="1" x14ac:dyDescent="0.2">
      <c r="A844" s="35" t="s">
        <v>757</v>
      </c>
      <c r="B844" s="80"/>
      <c r="C844" s="80"/>
      <c r="D844" s="80"/>
      <c r="E844" s="82"/>
      <c r="F844" s="32"/>
    </row>
    <row r="845" spans="1:6" ht="22.5" hidden="1" customHeight="1" outlineLevel="2" x14ac:dyDescent="0.25">
      <c r="A845" s="33" t="s">
        <v>758</v>
      </c>
      <c r="B845" s="79">
        <v>60</v>
      </c>
      <c r="C845" s="79" t="s">
        <v>15</v>
      </c>
      <c r="D845" s="83"/>
      <c r="E845" s="81">
        <f>B845*D845</f>
        <v>0</v>
      </c>
      <c r="F845" s="32"/>
    </row>
    <row r="846" spans="1:6" ht="15.75" hidden="1" customHeight="1" outlineLevel="2" x14ac:dyDescent="0.2">
      <c r="A846" s="35" t="s">
        <v>759</v>
      </c>
      <c r="B846" s="80"/>
      <c r="C846" s="80"/>
      <c r="D846" s="80"/>
      <c r="E846" s="82"/>
      <c r="F846" s="32"/>
    </row>
    <row r="847" spans="1:6" ht="22.5" hidden="1" customHeight="1" outlineLevel="2" x14ac:dyDescent="0.25">
      <c r="A847" s="33" t="s">
        <v>614</v>
      </c>
      <c r="B847" s="79">
        <v>100</v>
      </c>
      <c r="C847" s="79" t="s">
        <v>15</v>
      </c>
      <c r="D847" s="83"/>
      <c r="E847" s="81">
        <f>B847*D847</f>
        <v>0</v>
      </c>
      <c r="F847" s="32"/>
    </row>
    <row r="848" spans="1:6" ht="15.75" hidden="1" customHeight="1" outlineLevel="2" x14ac:dyDescent="0.2">
      <c r="A848" s="35" t="s">
        <v>615</v>
      </c>
      <c r="B848" s="80"/>
      <c r="C848" s="80"/>
      <c r="D848" s="80"/>
      <c r="E848" s="82"/>
      <c r="F848" s="32"/>
    </row>
    <row r="849" spans="1:6" ht="22.5" hidden="1" customHeight="1" outlineLevel="2" x14ac:dyDescent="0.25">
      <c r="A849" s="33" t="s">
        <v>616</v>
      </c>
      <c r="B849" s="79">
        <v>100</v>
      </c>
      <c r="C849" s="79" t="s">
        <v>15</v>
      </c>
      <c r="D849" s="83"/>
      <c r="E849" s="81">
        <f>B849*D849</f>
        <v>0</v>
      </c>
      <c r="F849" s="32"/>
    </row>
    <row r="850" spans="1:6" ht="15.75" hidden="1" customHeight="1" outlineLevel="2" x14ac:dyDescent="0.2">
      <c r="A850" s="35" t="s">
        <v>617</v>
      </c>
      <c r="B850" s="80"/>
      <c r="C850" s="80"/>
      <c r="D850" s="80"/>
      <c r="E850" s="82"/>
      <c r="F850" s="32"/>
    </row>
    <row r="851" spans="1:6" ht="11.25" customHeight="1" x14ac:dyDescent="0.2">
      <c r="A851" s="84" t="s">
        <v>12</v>
      </c>
      <c r="B851" s="85"/>
      <c r="C851" s="85"/>
      <c r="D851" s="85"/>
      <c r="E851" s="85"/>
      <c r="F851" s="17"/>
    </row>
    <row r="852" spans="1:6" ht="22.5" customHeight="1" collapsed="1" x14ac:dyDescent="0.2">
      <c r="A852" s="86" t="s">
        <v>764</v>
      </c>
      <c r="B852" s="87"/>
      <c r="C852" s="87"/>
      <c r="D852" s="88"/>
      <c r="E852" s="31"/>
      <c r="F852" s="27">
        <f>SUM(E853:E896)</f>
        <v>0</v>
      </c>
    </row>
    <row r="853" spans="1:6" ht="22.5" hidden="1" customHeight="1" outlineLevel="2" x14ac:dyDescent="0.25">
      <c r="A853" s="33" t="s">
        <v>674</v>
      </c>
      <c r="B853" s="79">
        <v>150</v>
      </c>
      <c r="C853" s="79" t="s">
        <v>15</v>
      </c>
      <c r="D853" s="83"/>
      <c r="E853" s="81">
        <f>B853*D853</f>
        <v>0</v>
      </c>
      <c r="F853" s="32"/>
    </row>
    <row r="854" spans="1:6" ht="15.75" hidden="1" customHeight="1" outlineLevel="2" x14ac:dyDescent="0.2">
      <c r="A854" s="35" t="s">
        <v>675</v>
      </c>
      <c r="B854" s="80"/>
      <c r="C854" s="80"/>
      <c r="D854" s="80"/>
      <c r="E854" s="82"/>
      <c r="F854" s="32"/>
    </row>
    <row r="855" spans="1:6" ht="22.5" hidden="1" customHeight="1" outlineLevel="2" x14ac:dyDescent="0.25">
      <c r="A855" s="33" t="s">
        <v>676</v>
      </c>
      <c r="B855" s="79">
        <v>550</v>
      </c>
      <c r="C855" s="79" t="s">
        <v>15</v>
      </c>
      <c r="D855" s="83"/>
      <c r="E855" s="81">
        <f>B855*D855</f>
        <v>0</v>
      </c>
      <c r="F855" s="32"/>
    </row>
    <row r="856" spans="1:6" ht="15.75" hidden="1" customHeight="1" outlineLevel="2" x14ac:dyDescent="0.2">
      <c r="A856" s="35" t="s">
        <v>765</v>
      </c>
      <c r="B856" s="80"/>
      <c r="C856" s="80"/>
      <c r="D856" s="80"/>
      <c r="E856" s="82"/>
      <c r="F856" s="32"/>
    </row>
    <row r="857" spans="1:6" ht="22.5" hidden="1" customHeight="1" outlineLevel="2" x14ac:dyDescent="0.25">
      <c r="A857" s="33" t="s">
        <v>553</v>
      </c>
      <c r="B857" s="79">
        <v>50</v>
      </c>
      <c r="C857" s="79" t="s">
        <v>36</v>
      </c>
      <c r="D857" s="83"/>
      <c r="E857" s="81">
        <f>B857*D857</f>
        <v>0</v>
      </c>
      <c r="F857" s="32"/>
    </row>
    <row r="858" spans="1:6" ht="15.75" hidden="1" customHeight="1" outlineLevel="2" x14ac:dyDescent="0.2">
      <c r="A858" s="35" t="s">
        <v>680</v>
      </c>
      <c r="B858" s="80"/>
      <c r="C858" s="80"/>
      <c r="D858" s="80"/>
      <c r="E858" s="82"/>
      <c r="F858" s="32"/>
    </row>
    <row r="859" spans="1:6" ht="22.5" hidden="1" customHeight="1" outlineLevel="2" x14ac:dyDescent="0.25">
      <c r="A859" s="33" t="s">
        <v>766</v>
      </c>
      <c r="B859" s="79">
        <v>160</v>
      </c>
      <c r="C859" s="79" t="s">
        <v>36</v>
      </c>
      <c r="D859" s="83"/>
      <c r="E859" s="81">
        <f>B859*D859</f>
        <v>0</v>
      </c>
      <c r="F859" s="32"/>
    </row>
    <row r="860" spans="1:6" ht="15.75" hidden="1" customHeight="1" outlineLevel="2" x14ac:dyDescent="0.2">
      <c r="A860" s="35" t="s">
        <v>682</v>
      </c>
      <c r="B860" s="80"/>
      <c r="C860" s="80"/>
      <c r="D860" s="80"/>
      <c r="E860" s="82"/>
      <c r="F860" s="32"/>
    </row>
    <row r="861" spans="1:6" ht="22.5" hidden="1" customHeight="1" outlineLevel="2" x14ac:dyDescent="0.25">
      <c r="A861" s="33" t="s">
        <v>557</v>
      </c>
      <c r="B861" s="79">
        <v>3</v>
      </c>
      <c r="C861" s="79" t="s">
        <v>15</v>
      </c>
      <c r="D861" s="83"/>
      <c r="E861" s="81">
        <f>B861*D861</f>
        <v>0</v>
      </c>
      <c r="F861" s="32"/>
    </row>
    <row r="862" spans="1:6" ht="15.75" hidden="1" customHeight="1" outlineLevel="2" x14ac:dyDescent="0.2">
      <c r="A862" s="35" t="s">
        <v>558</v>
      </c>
      <c r="B862" s="80"/>
      <c r="C862" s="80"/>
      <c r="D862" s="80"/>
      <c r="E862" s="82"/>
      <c r="F862" s="32"/>
    </row>
    <row r="863" spans="1:6" ht="22.5" hidden="1" customHeight="1" outlineLevel="3" x14ac:dyDescent="0.25">
      <c r="A863" s="33" t="s">
        <v>561</v>
      </c>
      <c r="B863" s="79">
        <v>150</v>
      </c>
      <c r="C863" s="79" t="s">
        <v>15</v>
      </c>
      <c r="D863" s="83"/>
      <c r="E863" s="81">
        <f>B863*D863</f>
        <v>0</v>
      </c>
      <c r="F863" s="32"/>
    </row>
    <row r="864" spans="1:6" ht="15.75" hidden="1" customHeight="1" outlineLevel="3" x14ac:dyDescent="0.2">
      <c r="A864" s="35" t="s">
        <v>562</v>
      </c>
      <c r="B864" s="80"/>
      <c r="C864" s="80"/>
      <c r="D864" s="80"/>
      <c r="E864" s="82"/>
      <c r="F864" s="32"/>
    </row>
    <row r="865" spans="1:6" ht="22.5" hidden="1" customHeight="1" outlineLevel="3" x14ac:dyDescent="0.25">
      <c r="A865" s="33" t="s">
        <v>563</v>
      </c>
      <c r="B865" s="79">
        <v>150</v>
      </c>
      <c r="C865" s="79" t="s">
        <v>15</v>
      </c>
      <c r="D865" s="83"/>
      <c r="E865" s="81">
        <f>B865*D865</f>
        <v>0</v>
      </c>
      <c r="F865" s="32"/>
    </row>
    <row r="866" spans="1:6" ht="15.75" hidden="1" customHeight="1" outlineLevel="3" x14ac:dyDescent="0.2">
      <c r="A866" s="35" t="s">
        <v>564</v>
      </c>
      <c r="B866" s="80"/>
      <c r="C866" s="80"/>
      <c r="D866" s="80"/>
      <c r="E866" s="82"/>
      <c r="F866" s="32"/>
    </row>
    <row r="867" spans="1:6" ht="22.5" hidden="1" customHeight="1" outlineLevel="3" x14ac:dyDescent="0.25">
      <c r="A867" s="33" t="s">
        <v>565</v>
      </c>
      <c r="B867" s="79">
        <v>250</v>
      </c>
      <c r="C867" s="79" t="s">
        <v>15</v>
      </c>
      <c r="D867" s="83"/>
      <c r="E867" s="81">
        <f>B867*D867</f>
        <v>0</v>
      </c>
      <c r="F867" s="32"/>
    </row>
    <row r="868" spans="1:6" ht="15.75" hidden="1" customHeight="1" outlineLevel="3" x14ac:dyDescent="0.2">
      <c r="A868" s="35" t="s">
        <v>564</v>
      </c>
      <c r="B868" s="80"/>
      <c r="C868" s="80"/>
      <c r="D868" s="80"/>
      <c r="E868" s="82"/>
      <c r="F868" s="32"/>
    </row>
    <row r="869" spans="1:6" ht="22.5" hidden="1" customHeight="1" outlineLevel="3" x14ac:dyDescent="0.25">
      <c r="A869" s="33" t="s">
        <v>581</v>
      </c>
      <c r="B869" s="79">
        <v>28</v>
      </c>
      <c r="C869" s="79" t="s">
        <v>38</v>
      </c>
      <c r="D869" s="83"/>
      <c r="E869" s="81">
        <f>B869*D869</f>
        <v>0</v>
      </c>
      <c r="F869" s="76" t="s">
        <v>684</v>
      </c>
    </row>
    <row r="870" spans="1:6" ht="15.75" hidden="1" customHeight="1" outlineLevel="3" x14ac:dyDescent="0.2">
      <c r="A870" s="35" t="s">
        <v>685</v>
      </c>
      <c r="B870" s="80"/>
      <c r="C870" s="80"/>
      <c r="D870" s="80"/>
      <c r="E870" s="82"/>
      <c r="F870" s="78"/>
    </row>
    <row r="871" spans="1:6" ht="22.5" hidden="1" customHeight="1" outlineLevel="3" x14ac:dyDescent="0.25">
      <c r="A871" s="33" t="s">
        <v>583</v>
      </c>
      <c r="B871" s="79">
        <v>36</v>
      </c>
      <c r="C871" s="79" t="s">
        <v>38</v>
      </c>
      <c r="D871" s="83"/>
      <c r="E871" s="81">
        <f>B871*D871</f>
        <v>0</v>
      </c>
      <c r="F871" s="76" t="s">
        <v>767</v>
      </c>
    </row>
    <row r="872" spans="1:6" ht="15.75" hidden="1" customHeight="1" outlineLevel="3" x14ac:dyDescent="0.2">
      <c r="A872" s="35" t="s">
        <v>584</v>
      </c>
      <c r="B872" s="80"/>
      <c r="C872" s="80"/>
      <c r="D872" s="80"/>
      <c r="E872" s="82"/>
      <c r="F872" s="78"/>
    </row>
    <row r="873" spans="1:6" ht="22.5" hidden="1" customHeight="1" outlineLevel="3" x14ac:dyDescent="0.25">
      <c r="A873" s="33" t="s">
        <v>585</v>
      </c>
      <c r="B873" s="79">
        <v>6</v>
      </c>
      <c r="C873" s="79" t="s">
        <v>38</v>
      </c>
      <c r="D873" s="83"/>
      <c r="E873" s="81">
        <f>B873*D873</f>
        <v>0</v>
      </c>
      <c r="F873" s="91" t="s">
        <v>687</v>
      </c>
    </row>
    <row r="874" spans="1:6" ht="15.75" hidden="1" customHeight="1" outlineLevel="3" x14ac:dyDescent="0.2">
      <c r="A874" s="35" t="s">
        <v>586</v>
      </c>
      <c r="B874" s="80"/>
      <c r="C874" s="80"/>
      <c r="D874" s="80"/>
      <c r="E874" s="82"/>
      <c r="F874" s="78"/>
    </row>
    <row r="875" spans="1:6" ht="22.5" hidden="1" customHeight="1" outlineLevel="2" x14ac:dyDescent="0.25">
      <c r="A875" s="33" t="s">
        <v>589</v>
      </c>
      <c r="B875" s="79">
        <v>25</v>
      </c>
      <c r="C875" s="79" t="s">
        <v>38</v>
      </c>
      <c r="D875" s="83"/>
      <c r="E875" s="81">
        <f>B875*D875</f>
        <v>0</v>
      </c>
      <c r="F875" s="32"/>
    </row>
    <row r="876" spans="1:6" ht="15.75" hidden="1" customHeight="1" outlineLevel="2" x14ac:dyDescent="0.2">
      <c r="A876" s="35" t="s">
        <v>590</v>
      </c>
      <c r="B876" s="80"/>
      <c r="C876" s="80"/>
      <c r="D876" s="80"/>
      <c r="E876" s="82"/>
      <c r="F876" s="32"/>
    </row>
    <row r="877" spans="1:6" ht="22.5" hidden="1" customHeight="1" outlineLevel="2" x14ac:dyDescent="0.25">
      <c r="A877" s="33" t="s">
        <v>591</v>
      </c>
      <c r="B877" s="79">
        <v>150</v>
      </c>
      <c r="C877" s="79" t="s">
        <v>15</v>
      </c>
      <c r="D877" s="83"/>
      <c r="E877" s="81">
        <f>B877*D877</f>
        <v>0</v>
      </c>
      <c r="F877" s="32"/>
    </row>
    <row r="878" spans="1:6" ht="15.75" hidden="1" customHeight="1" outlineLevel="2" x14ac:dyDescent="0.2">
      <c r="A878" s="35" t="s">
        <v>592</v>
      </c>
      <c r="B878" s="80"/>
      <c r="C878" s="80"/>
      <c r="D878" s="80"/>
      <c r="E878" s="82"/>
      <c r="F878" s="32"/>
    </row>
    <row r="879" spans="1:6" ht="22.5" hidden="1" customHeight="1" outlineLevel="2" x14ac:dyDescent="0.25">
      <c r="A879" s="33" t="s">
        <v>688</v>
      </c>
      <c r="B879" s="79">
        <v>25</v>
      </c>
      <c r="C879" s="79" t="s">
        <v>38</v>
      </c>
      <c r="D879" s="83"/>
      <c r="E879" s="81">
        <f>B879*D879</f>
        <v>0</v>
      </c>
      <c r="F879" s="32"/>
    </row>
    <row r="880" spans="1:6" ht="15.75" hidden="1" customHeight="1" outlineLevel="2" x14ac:dyDescent="0.2">
      <c r="A880" s="35" t="s">
        <v>596</v>
      </c>
      <c r="B880" s="80"/>
      <c r="C880" s="80"/>
      <c r="D880" s="80"/>
      <c r="E880" s="82"/>
      <c r="F880" s="32"/>
    </row>
    <row r="881" spans="1:6" ht="22.5" hidden="1" customHeight="1" outlineLevel="2" x14ac:dyDescent="0.25">
      <c r="A881" s="33" t="s">
        <v>601</v>
      </c>
      <c r="B881" s="79">
        <v>500</v>
      </c>
      <c r="C881" s="79" t="s">
        <v>15</v>
      </c>
      <c r="D881" s="83"/>
      <c r="E881" s="81">
        <f>B881*D881</f>
        <v>0</v>
      </c>
      <c r="F881" s="32"/>
    </row>
    <row r="882" spans="1:6" ht="15.75" hidden="1" customHeight="1" outlineLevel="2" x14ac:dyDescent="0.2">
      <c r="A882" s="35" t="s">
        <v>602</v>
      </c>
      <c r="B882" s="80"/>
      <c r="C882" s="80"/>
      <c r="D882" s="80"/>
      <c r="E882" s="82"/>
      <c r="F882" s="32"/>
    </row>
    <row r="883" spans="1:6" ht="22.5" hidden="1" customHeight="1" outlineLevel="2" x14ac:dyDescent="0.25">
      <c r="A883" s="33" t="s">
        <v>689</v>
      </c>
      <c r="B883" s="79">
        <v>250</v>
      </c>
      <c r="C883" s="79" t="s">
        <v>15</v>
      </c>
      <c r="D883" s="83"/>
      <c r="E883" s="81">
        <f>B883*D883</f>
        <v>0</v>
      </c>
      <c r="F883" s="32"/>
    </row>
    <row r="884" spans="1:6" ht="15.75" hidden="1" customHeight="1" outlineLevel="2" x14ac:dyDescent="0.2">
      <c r="A884" s="35" t="s">
        <v>690</v>
      </c>
      <c r="B884" s="80"/>
      <c r="C884" s="80"/>
      <c r="D884" s="80"/>
      <c r="E884" s="82"/>
      <c r="F884" s="32"/>
    </row>
    <row r="885" spans="1:6" ht="22.5" hidden="1" customHeight="1" outlineLevel="2" x14ac:dyDescent="0.25">
      <c r="A885" s="33" t="s">
        <v>614</v>
      </c>
      <c r="B885" s="79">
        <v>100</v>
      </c>
      <c r="C885" s="79" t="s">
        <v>15</v>
      </c>
      <c r="D885" s="83"/>
      <c r="E885" s="81">
        <f>B885*D885</f>
        <v>0</v>
      </c>
      <c r="F885" s="32"/>
    </row>
    <row r="886" spans="1:6" ht="15.75" hidden="1" customHeight="1" outlineLevel="2" x14ac:dyDescent="0.2">
      <c r="A886" s="35" t="s">
        <v>615</v>
      </c>
      <c r="B886" s="80"/>
      <c r="C886" s="80"/>
      <c r="D886" s="80"/>
      <c r="E886" s="82"/>
      <c r="F886" s="32"/>
    </row>
    <row r="887" spans="1:6" ht="22.5" hidden="1" customHeight="1" outlineLevel="2" x14ac:dyDescent="0.25">
      <c r="A887" s="33" t="s">
        <v>616</v>
      </c>
      <c r="B887" s="79">
        <v>100</v>
      </c>
      <c r="C887" s="79" t="s">
        <v>15</v>
      </c>
      <c r="D887" s="83"/>
      <c r="E887" s="81">
        <f>B887*D887</f>
        <v>0</v>
      </c>
      <c r="F887" s="32"/>
    </row>
    <row r="888" spans="1:6" ht="15.75" hidden="1" customHeight="1" outlineLevel="2" x14ac:dyDescent="0.2">
      <c r="A888" s="35" t="s">
        <v>617</v>
      </c>
      <c r="B888" s="80"/>
      <c r="C888" s="80"/>
      <c r="D888" s="80"/>
      <c r="E888" s="82"/>
      <c r="F888" s="32"/>
    </row>
    <row r="889" spans="1:6" ht="22.5" hidden="1" customHeight="1" outlineLevel="2" x14ac:dyDescent="0.25">
      <c r="A889" s="33" t="s">
        <v>618</v>
      </c>
      <c r="B889" s="79">
        <v>100</v>
      </c>
      <c r="C889" s="79" t="s">
        <v>15</v>
      </c>
      <c r="D889" s="83"/>
      <c r="E889" s="81">
        <f>B889*D889</f>
        <v>0</v>
      </c>
      <c r="F889" s="32"/>
    </row>
    <row r="890" spans="1:6" ht="15.75" hidden="1" customHeight="1" outlineLevel="2" x14ac:dyDescent="0.2">
      <c r="A890" s="35" t="s">
        <v>615</v>
      </c>
      <c r="B890" s="80"/>
      <c r="C890" s="80"/>
      <c r="D890" s="80"/>
      <c r="E890" s="82"/>
      <c r="F890" s="32"/>
    </row>
    <row r="891" spans="1:6" ht="22.5" hidden="1" customHeight="1" outlineLevel="2" x14ac:dyDescent="0.25">
      <c r="A891" s="33" t="s">
        <v>619</v>
      </c>
      <c r="B891" s="79">
        <v>300</v>
      </c>
      <c r="C891" s="79" t="s">
        <v>15</v>
      </c>
      <c r="D891" s="83"/>
      <c r="E891" s="81">
        <f>B891*D891</f>
        <v>0</v>
      </c>
      <c r="F891" s="32"/>
    </row>
    <row r="892" spans="1:6" ht="15.75" hidden="1" customHeight="1" outlineLevel="2" x14ac:dyDescent="0.2">
      <c r="A892" s="35" t="s">
        <v>620</v>
      </c>
      <c r="B892" s="80"/>
      <c r="C892" s="80"/>
      <c r="D892" s="80"/>
      <c r="E892" s="82"/>
      <c r="F892" s="32"/>
    </row>
    <row r="893" spans="1:6" ht="22.5" hidden="1" customHeight="1" outlineLevel="1" x14ac:dyDescent="0.25">
      <c r="A893" s="33" t="s">
        <v>768</v>
      </c>
      <c r="B893" s="79">
        <v>250</v>
      </c>
      <c r="C893" s="79" t="s">
        <v>15</v>
      </c>
      <c r="D893" s="83"/>
      <c r="E893" s="81">
        <f>B893*D893</f>
        <v>0</v>
      </c>
      <c r="F893" s="76" t="s">
        <v>769</v>
      </c>
    </row>
    <row r="894" spans="1:6" ht="15.75" hidden="1" customHeight="1" outlineLevel="1" x14ac:dyDescent="0.2">
      <c r="A894" s="35" t="s">
        <v>770</v>
      </c>
      <c r="B894" s="80"/>
      <c r="C894" s="80"/>
      <c r="D894" s="80"/>
      <c r="E894" s="82"/>
      <c r="F894" s="78"/>
    </row>
    <row r="895" spans="1:6" ht="22.5" hidden="1" customHeight="1" outlineLevel="1" x14ac:dyDescent="0.25">
      <c r="A895" s="33" t="s">
        <v>771</v>
      </c>
      <c r="B895" s="79">
        <v>1100</v>
      </c>
      <c r="C895" s="79" t="s">
        <v>15</v>
      </c>
      <c r="D895" s="83"/>
      <c r="E895" s="81">
        <f>B895*D895</f>
        <v>0</v>
      </c>
      <c r="F895" s="32"/>
    </row>
    <row r="896" spans="1:6" ht="15.75" hidden="1" customHeight="1" outlineLevel="1" x14ac:dyDescent="0.2">
      <c r="A896" s="35" t="s">
        <v>772</v>
      </c>
      <c r="B896" s="80"/>
      <c r="C896" s="80"/>
      <c r="D896" s="80"/>
      <c r="E896" s="82"/>
      <c r="F896" s="32"/>
    </row>
    <row r="897" spans="1:6" ht="11.25" customHeight="1" x14ac:dyDescent="0.2">
      <c r="A897" s="84" t="s">
        <v>12</v>
      </c>
      <c r="B897" s="85"/>
      <c r="C897" s="85"/>
      <c r="D897" s="85"/>
      <c r="E897" s="85"/>
      <c r="F897" s="17"/>
    </row>
    <row r="898" spans="1:6" ht="22.5" customHeight="1" x14ac:dyDescent="0.2">
      <c r="A898" s="86" t="s">
        <v>773</v>
      </c>
      <c r="B898" s="87"/>
      <c r="C898" s="87"/>
      <c r="D898" s="88"/>
      <c r="E898" s="31"/>
      <c r="F898" s="27">
        <f>F899+F918</f>
        <v>0</v>
      </c>
    </row>
    <row r="899" spans="1:6" ht="22.5" customHeight="1" collapsed="1" x14ac:dyDescent="0.2">
      <c r="A899" s="89" t="s">
        <v>552</v>
      </c>
      <c r="B899" s="87"/>
      <c r="C899" s="87"/>
      <c r="D899" s="88"/>
      <c r="E899" s="38"/>
      <c r="F899" s="45">
        <f>SUM(E900:E917)</f>
        <v>0</v>
      </c>
    </row>
    <row r="900" spans="1:6" ht="22.5" hidden="1" customHeight="1" outlineLevel="1" x14ac:dyDescent="0.25">
      <c r="A900" s="33" t="s">
        <v>553</v>
      </c>
      <c r="B900" s="79">
        <v>50</v>
      </c>
      <c r="C900" s="79" t="s">
        <v>36</v>
      </c>
      <c r="D900" s="83"/>
      <c r="E900" s="81">
        <f>B900*D900</f>
        <v>0</v>
      </c>
      <c r="F900" s="32"/>
    </row>
    <row r="901" spans="1:6" ht="15.75" hidden="1" customHeight="1" outlineLevel="1" x14ac:dyDescent="0.2">
      <c r="A901" s="35" t="s">
        <v>554</v>
      </c>
      <c r="B901" s="80"/>
      <c r="C901" s="80"/>
      <c r="D901" s="80"/>
      <c r="E901" s="82"/>
      <c r="F901" s="32"/>
    </row>
    <row r="902" spans="1:6" ht="22.5" hidden="1" customHeight="1" outlineLevel="1" x14ac:dyDescent="0.25">
      <c r="A902" s="33" t="s">
        <v>555</v>
      </c>
      <c r="B902" s="79">
        <v>160</v>
      </c>
      <c r="C902" s="79" t="s">
        <v>36</v>
      </c>
      <c r="D902" s="83"/>
      <c r="E902" s="81">
        <f>B902*D902</f>
        <v>0</v>
      </c>
      <c r="F902" s="32"/>
    </row>
    <row r="903" spans="1:6" ht="15.75" hidden="1" customHeight="1" outlineLevel="1" x14ac:dyDescent="0.2">
      <c r="A903" s="35" t="s">
        <v>774</v>
      </c>
      <c r="B903" s="80"/>
      <c r="C903" s="80"/>
      <c r="D903" s="80"/>
      <c r="E903" s="82"/>
      <c r="F903" s="32"/>
    </row>
    <row r="904" spans="1:6" ht="22.5" hidden="1" customHeight="1" outlineLevel="1" x14ac:dyDescent="0.25">
      <c r="A904" s="33" t="s">
        <v>557</v>
      </c>
      <c r="B904" s="79">
        <v>10</v>
      </c>
      <c r="C904" s="79" t="s">
        <v>15</v>
      </c>
      <c r="D904" s="83"/>
      <c r="E904" s="81">
        <f>B904*D904</f>
        <v>0</v>
      </c>
      <c r="F904" s="32"/>
    </row>
    <row r="905" spans="1:6" ht="15.75" hidden="1" customHeight="1" outlineLevel="1" x14ac:dyDescent="0.2">
      <c r="A905" s="35" t="s">
        <v>775</v>
      </c>
      <c r="B905" s="80"/>
      <c r="C905" s="80"/>
      <c r="D905" s="80"/>
      <c r="E905" s="82"/>
      <c r="F905" s="32"/>
    </row>
    <row r="906" spans="1:6" ht="22.5" hidden="1" customHeight="1" outlineLevel="1" x14ac:dyDescent="0.25">
      <c r="A906" s="33" t="s">
        <v>559</v>
      </c>
      <c r="B906" s="79">
        <v>270</v>
      </c>
      <c r="C906" s="79" t="s">
        <v>36</v>
      </c>
      <c r="D906" s="83"/>
      <c r="E906" s="81">
        <f>B906*D906</f>
        <v>0</v>
      </c>
      <c r="F906" s="32"/>
    </row>
    <row r="907" spans="1:6" ht="15.75" hidden="1" customHeight="1" outlineLevel="1" x14ac:dyDescent="0.2">
      <c r="A907" s="35" t="s">
        <v>776</v>
      </c>
      <c r="B907" s="80"/>
      <c r="C907" s="80"/>
      <c r="D907" s="80"/>
      <c r="E907" s="82"/>
      <c r="F907" s="32"/>
    </row>
    <row r="908" spans="1:6" ht="22.5" hidden="1" customHeight="1" outlineLevel="1" x14ac:dyDescent="0.25">
      <c r="A908" s="33" t="s">
        <v>561</v>
      </c>
      <c r="B908" s="79">
        <v>150</v>
      </c>
      <c r="C908" s="79" t="s">
        <v>15</v>
      </c>
      <c r="D908" s="83"/>
      <c r="E908" s="81">
        <f>B908*D908</f>
        <v>0</v>
      </c>
      <c r="F908" s="32"/>
    </row>
    <row r="909" spans="1:6" ht="15.75" hidden="1" customHeight="1" outlineLevel="1" x14ac:dyDescent="0.2">
      <c r="A909" s="35" t="s">
        <v>562</v>
      </c>
      <c r="B909" s="80"/>
      <c r="C909" s="80"/>
      <c r="D909" s="80"/>
      <c r="E909" s="82"/>
      <c r="F909" s="32"/>
    </row>
    <row r="910" spans="1:6" ht="22.5" hidden="1" customHeight="1" outlineLevel="1" x14ac:dyDescent="0.25">
      <c r="A910" s="33" t="s">
        <v>563</v>
      </c>
      <c r="B910" s="79">
        <v>150</v>
      </c>
      <c r="C910" s="79" t="s">
        <v>15</v>
      </c>
      <c r="D910" s="83"/>
      <c r="E910" s="81">
        <f>B910*D910</f>
        <v>0</v>
      </c>
      <c r="F910" s="32"/>
    </row>
    <row r="911" spans="1:6" ht="15.75" hidden="1" customHeight="1" outlineLevel="1" x14ac:dyDescent="0.2">
      <c r="A911" s="35" t="s">
        <v>564</v>
      </c>
      <c r="B911" s="80"/>
      <c r="C911" s="80"/>
      <c r="D911" s="80"/>
      <c r="E911" s="82"/>
      <c r="F911" s="32"/>
    </row>
    <row r="912" spans="1:6" ht="22.5" hidden="1" customHeight="1" outlineLevel="1" x14ac:dyDescent="0.25">
      <c r="A912" s="33" t="s">
        <v>565</v>
      </c>
      <c r="B912" s="79">
        <v>250</v>
      </c>
      <c r="C912" s="79" t="s">
        <v>15</v>
      </c>
      <c r="D912" s="83"/>
      <c r="E912" s="81">
        <f>B912*D912</f>
        <v>0</v>
      </c>
      <c r="F912" s="32"/>
    </row>
    <row r="913" spans="1:6" ht="15.75" hidden="1" customHeight="1" outlineLevel="1" x14ac:dyDescent="0.2">
      <c r="A913" s="35" t="s">
        <v>564</v>
      </c>
      <c r="B913" s="80"/>
      <c r="C913" s="80"/>
      <c r="D913" s="80"/>
      <c r="E913" s="82"/>
      <c r="F913" s="32"/>
    </row>
    <row r="914" spans="1:6" ht="22.5" hidden="1" customHeight="1" outlineLevel="1" x14ac:dyDescent="0.25">
      <c r="A914" s="33" t="s">
        <v>566</v>
      </c>
      <c r="B914" s="79">
        <v>150</v>
      </c>
      <c r="C914" s="79" t="s">
        <v>15</v>
      </c>
      <c r="D914" s="83"/>
      <c r="E914" s="81">
        <f>B914*D914</f>
        <v>0</v>
      </c>
      <c r="F914" s="32"/>
    </row>
    <row r="915" spans="1:6" ht="15.75" hidden="1" customHeight="1" outlineLevel="1" x14ac:dyDescent="0.2">
      <c r="A915" s="35" t="s">
        <v>564</v>
      </c>
      <c r="B915" s="80"/>
      <c r="C915" s="80"/>
      <c r="D915" s="80"/>
      <c r="E915" s="82"/>
      <c r="F915" s="32"/>
    </row>
    <row r="916" spans="1:6" ht="22.5" hidden="1" customHeight="1" outlineLevel="1" x14ac:dyDescent="0.25">
      <c r="A916" s="33" t="s">
        <v>567</v>
      </c>
      <c r="B916" s="79">
        <v>200</v>
      </c>
      <c r="C916" s="79" t="s">
        <v>15</v>
      </c>
      <c r="D916" s="83"/>
      <c r="E916" s="81">
        <f>B916*D916</f>
        <v>0</v>
      </c>
      <c r="F916" s="32"/>
    </row>
    <row r="917" spans="1:6" ht="15.75" hidden="1" customHeight="1" outlineLevel="1" x14ac:dyDescent="0.2">
      <c r="A917" s="35" t="s">
        <v>564</v>
      </c>
      <c r="B917" s="80"/>
      <c r="C917" s="80"/>
      <c r="D917" s="80"/>
      <c r="E917" s="82"/>
      <c r="F917" s="32"/>
    </row>
    <row r="918" spans="1:6" ht="22.5" customHeight="1" collapsed="1" x14ac:dyDescent="0.2">
      <c r="A918" s="89" t="s">
        <v>613</v>
      </c>
      <c r="B918" s="87"/>
      <c r="C918" s="87"/>
      <c r="D918" s="88"/>
      <c r="E918" s="38"/>
      <c r="F918" s="45">
        <f>SUM(E919:E934)</f>
        <v>0</v>
      </c>
    </row>
    <row r="919" spans="1:6" ht="22.5" hidden="1" customHeight="1" outlineLevel="2" x14ac:dyDescent="0.25">
      <c r="A919" s="33" t="s">
        <v>614</v>
      </c>
      <c r="B919" s="79">
        <v>100</v>
      </c>
      <c r="C919" s="79" t="s">
        <v>15</v>
      </c>
      <c r="D919" s="83"/>
      <c r="E919" s="81">
        <f>B919*D919</f>
        <v>0</v>
      </c>
      <c r="F919" s="32"/>
    </row>
    <row r="920" spans="1:6" ht="15.75" hidden="1" customHeight="1" outlineLevel="2" x14ac:dyDescent="0.2">
      <c r="A920" s="35" t="s">
        <v>615</v>
      </c>
      <c r="B920" s="80"/>
      <c r="C920" s="80"/>
      <c r="D920" s="80"/>
      <c r="E920" s="82"/>
      <c r="F920" s="32"/>
    </row>
    <row r="921" spans="1:6" ht="22.5" hidden="1" customHeight="1" outlineLevel="2" x14ac:dyDescent="0.25">
      <c r="A921" s="33" t="s">
        <v>616</v>
      </c>
      <c r="B921" s="79">
        <v>100</v>
      </c>
      <c r="C921" s="79" t="s">
        <v>15</v>
      </c>
      <c r="D921" s="83"/>
      <c r="E921" s="81">
        <f>B921*D921</f>
        <v>0</v>
      </c>
      <c r="F921" s="32"/>
    </row>
    <row r="922" spans="1:6" ht="15.75" hidden="1" customHeight="1" outlineLevel="2" x14ac:dyDescent="0.2">
      <c r="A922" s="35" t="s">
        <v>617</v>
      </c>
      <c r="B922" s="80"/>
      <c r="C922" s="80"/>
      <c r="D922" s="80"/>
      <c r="E922" s="82"/>
      <c r="F922" s="32"/>
    </row>
    <row r="923" spans="1:6" ht="22.5" hidden="1" customHeight="1" outlineLevel="2" x14ac:dyDescent="0.25">
      <c r="A923" s="33" t="s">
        <v>618</v>
      </c>
      <c r="B923" s="79">
        <v>100</v>
      </c>
      <c r="C923" s="79" t="s">
        <v>15</v>
      </c>
      <c r="D923" s="83"/>
      <c r="E923" s="81">
        <f>B923*D923</f>
        <v>0</v>
      </c>
      <c r="F923" s="32"/>
    </row>
    <row r="924" spans="1:6" ht="15.75" hidden="1" customHeight="1" outlineLevel="2" x14ac:dyDescent="0.2">
      <c r="A924" s="35" t="s">
        <v>615</v>
      </c>
      <c r="B924" s="80"/>
      <c r="C924" s="80"/>
      <c r="D924" s="80"/>
      <c r="E924" s="82"/>
      <c r="F924" s="32"/>
    </row>
    <row r="925" spans="1:6" ht="22.5" hidden="1" customHeight="1" outlineLevel="2" x14ac:dyDescent="0.25">
      <c r="A925" s="33" t="s">
        <v>619</v>
      </c>
      <c r="B925" s="79">
        <v>300</v>
      </c>
      <c r="C925" s="79" t="s">
        <v>15</v>
      </c>
      <c r="D925" s="83"/>
      <c r="E925" s="81">
        <f>B925*D925</f>
        <v>0</v>
      </c>
      <c r="F925" s="32"/>
    </row>
    <row r="926" spans="1:6" ht="15.75" hidden="1" customHeight="1" outlineLevel="2" x14ac:dyDescent="0.2">
      <c r="A926" s="35" t="s">
        <v>620</v>
      </c>
      <c r="B926" s="80"/>
      <c r="C926" s="80"/>
      <c r="D926" s="80"/>
      <c r="E926" s="82"/>
      <c r="F926" s="32"/>
    </row>
    <row r="927" spans="1:6" ht="22.5" hidden="1" customHeight="1" outlineLevel="2" x14ac:dyDescent="0.25">
      <c r="A927" s="33" t="s">
        <v>621</v>
      </c>
      <c r="B927" s="79">
        <v>100</v>
      </c>
      <c r="C927" s="79" t="s">
        <v>15</v>
      </c>
      <c r="D927" s="83"/>
      <c r="E927" s="81">
        <f>B927*D927</f>
        <v>0</v>
      </c>
      <c r="F927" s="32"/>
    </row>
    <row r="928" spans="1:6" ht="15.75" hidden="1" customHeight="1" outlineLevel="2" x14ac:dyDescent="0.2">
      <c r="A928" s="35" t="s">
        <v>622</v>
      </c>
      <c r="B928" s="80"/>
      <c r="C928" s="80"/>
      <c r="D928" s="80"/>
      <c r="E928" s="82"/>
      <c r="F928" s="32"/>
    </row>
    <row r="929" spans="1:6" ht="22.5" hidden="1" customHeight="1" outlineLevel="2" x14ac:dyDescent="0.25">
      <c r="A929" s="33" t="s">
        <v>623</v>
      </c>
      <c r="B929" s="79">
        <v>100</v>
      </c>
      <c r="C929" s="79" t="s">
        <v>15</v>
      </c>
      <c r="D929" s="83"/>
      <c r="E929" s="81">
        <f>B929*D929</f>
        <v>0</v>
      </c>
      <c r="F929" s="32"/>
    </row>
    <row r="930" spans="1:6" ht="15.75" hidden="1" customHeight="1" outlineLevel="2" x14ac:dyDescent="0.2">
      <c r="A930" s="35" t="s">
        <v>624</v>
      </c>
      <c r="B930" s="80"/>
      <c r="C930" s="80"/>
      <c r="D930" s="80"/>
      <c r="E930" s="82"/>
      <c r="F930" s="32"/>
    </row>
    <row r="931" spans="1:6" ht="22.5" hidden="1" customHeight="1" outlineLevel="1" x14ac:dyDescent="0.25">
      <c r="A931" s="33" t="s">
        <v>777</v>
      </c>
      <c r="B931" s="79">
        <v>100</v>
      </c>
      <c r="C931" s="79" t="s">
        <v>15</v>
      </c>
      <c r="D931" s="83"/>
      <c r="E931" s="81">
        <f>B931*D931</f>
        <v>0</v>
      </c>
      <c r="F931" s="32"/>
    </row>
    <row r="932" spans="1:6" ht="15.75" hidden="1" customHeight="1" outlineLevel="1" x14ac:dyDescent="0.2">
      <c r="A932" s="35" t="s">
        <v>778</v>
      </c>
      <c r="B932" s="80"/>
      <c r="C932" s="80"/>
      <c r="D932" s="80"/>
      <c r="E932" s="82"/>
      <c r="F932" s="32"/>
    </row>
    <row r="933" spans="1:6" ht="22.5" hidden="1" customHeight="1" outlineLevel="1" x14ac:dyDescent="0.25">
      <c r="A933" s="33" t="s">
        <v>779</v>
      </c>
      <c r="B933" s="79">
        <v>100</v>
      </c>
      <c r="C933" s="79" t="s">
        <v>15</v>
      </c>
      <c r="D933" s="83"/>
      <c r="E933" s="81">
        <f>B933*D933</f>
        <v>0</v>
      </c>
      <c r="F933" s="32"/>
    </row>
    <row r="934" spans="1:6" ht="15.75" hidden="1" customHeight="1" outlineLevel="1" x14ac:dyDescent="0.2">
      <c r="A934" s="35" t="s">
        <v>780</v>
      </c>
      <c r="B934" s="80"/>
      <c r="C934" s="80"/>
      <c r="D934" s="80"/>
      <c r="E934" s="82"/>
      <c r="F934" s="32"/>
    </row>
    <row r="935" spans="1:6" ht="11.25" customHeight="1" x14ac:dyDescent="0.2">
      <c r="A935" s="85"/>
      <c r="B935" s="85"/>
      <c r="C935" s="85"/>
      <c r="D935" s="85"/>
      <c r="E935" s="85"/>
      <c r="F935" s="17"/>
    </row>
    <row r="936" spans="1:6" ht="22.5" customHeight="1" collapsed="1" x14ac:dyDescent="0.2">
      <c r="A936" s="86" t="s">
        <v>781</v>
      </c>
      <c r="B936" s="87"/>
      <c r="C936" s="87"/>
      <c r="D936" s="88"/>
      <c r="E936" s="31"/>
      <c r="F936" s="27">
        <f>SUM(E937:E942,E947:E962)</f>
        <v>0</v>
      </c>
    </row>
    <row r="937" spans="1:6" ht="22.5" hidden="1" customHeight="1" outlineLevel="1" x14ac:dyDescent="0.25">
      <c r="A937" s="33" t="s">
        <v>782</v>
      </c>
      <c r="B937" s="79">
        <v>25</v>
      </c>
      <c r="C937" s="79" t="s">
        <v>38</v>
      </c>
      <c r="D937" s="83"/>
      <c r="E937" s="81">
        <f>B937*D937</f>
        <v>0</v>
      </c>
      <c r="F937" s="76" t="s">
        <v>783</v>
      </c>
    </row>
    <row r="938" spans="1:6" ht="15.75" hidden="1" customHeight="1" outlineLevel="1" x14ac:dyDescent="0.2">
      <c r="A938" s="35" t="s">
        <v>784</v>
      </c>
      <c r="B938" s="80"/>
      <c r="C938" s="80"/>
      <c r="D938" s="80"/>
      <c r="E938" s="82"/>
      <c r="F938" s="78"/>
    </row>
    <row r="939" spans="1:6" ht="22.5" hidden="1" customHeight="1" outlineLevel="1" x14ac:dyDescent="0.25">
      <c r="A939" s="33" t="s">
        <v>785</v>
      </c>
      <c r="B939" s="79">
        <v>6</v>
      </c>
      <c r="C939" s="79" t="s">
        <v>38</v>
      </c>
      <c r="D939" s="83"/>
      <c r="E939" s="81">
        <f>B939*D939</f>
        <v>0</v>
      </c>
      <c r="F939" s="32"/>
    </row>
    <row r="940" spans="1:6" ht="15.75" hidden="1" customHeight="1" outlineLevel="1" x14ac:dyDescent="0.2">
      <c r="A940" s="35" t="s">
        <v>786</v>
      </c>
      <c r="B940" s="80"/>
      <c r="C940" s="80"/>
      <c r="D940" s="80"/>
      <c r="E940" s="82"/>
      <c r="F940" s="32"/>
    </row>
    <row r="941" spans="1:6" ht="22.5" hidden="1" customHeight="1" outlineLevel="1" x14ac:dyDescent="0.25">
      <c r="A941" s="33" t="s">
        <v>787</v>
      </c>
      <c r="B941" s="79">
        <v>15</v>
      </c>
      <c r="C941" s="79" t="s">
        <v>15</v>
      </c>
      <c r="D941" s="83"/>
      <c r="E941" s="81">
        <f>B941*D941</f>
        <v>0</v>
      </c>
      <c r="F941" s="32"/>
    </row>
    <row r="942" spans="1:6" ht="15.75" hidden="1" customHeight="1" outlineLevel="1" x14ac:dyDescent="0.2">
      <c r="A942" s="35" t="s">
        <v>788</v>
      </c>
      <c r="B942" s="80"/>
      <c r="C942" s="80"/>
      <c r="D942" s="80"/>
      <c r="E942" s="82"/>
      <c r="F942" s="32"/>
    </row>
    <row r="943" spans="1:6" ht="22.5" hidden="1" customHeight="1" outlineLevel="1" x14ac:dyDescent="0.25">
      <c r="A943" s="33" t="s">
        <v>789</v>
      </c>
      <c r="B943" s="79">
        <v>18</v>
      </c>
      <c r="C943" s="79" t="s">
        <v>38</v>
      </c>
      <c r="D943" s="83"/>
      <c r="E943" s="81">
        <f>B943*D943</f>
        <v>0</v>
      </c>
      <c r="F943" s="76" t="s">
        <v>790</v>
      </c>
    </row>
    <row r="944" spans="1:6" ht="15.75" hidden="1" customHeight="1" outlineLevel="1" x14ac:dyDescent="0.2">
      <c r="A944" s="35" t="s">
        <v>791</v>
      </c>
      <c r="B944" s="80"/>
      <c r="C944" s="80"/>
      <c r="D944" s="80"/>
      <c r="E944" s="82"/>
      <c r="F944" s="78"/>
    </row>
    <row r="945" spans="1:6" ht="22.5" hidden="1" customHeight="1" outlineLevel="1" x14ac:dyDescent="0.25">
      <c r="A945" s="33" t="s">
        <v>792</v>
      </c>
      <c r="B945" s="79">
        <v>26</v>
      </c>
      <c r="C945" s="79" t="s">
        <v>38</v>
      </c>
      <c r="D945" s="83"/>
      <c r="E945" s="81">
        <f>B945*D945</f>
        <v>0</v>
      </c>
      <c r="F945" s="76" t="s">
        <v>793</v>
      </c>
    </row>
    <row r="946" spans="1:6" ht="15.75" hidden="1" customHeight="1" outlineLevel="1" x14ac:dyDescent="0.2">
      <c r="A946" s="35" t="s">
        <v>794</v>
      </c>
      <c r="B946" s="80"/>
      <c r="C946" s="80"/>
      <c r="D946" s="80"/>
      <c r="E946" s="82"/>
      <c r="F946" s="78"/>
    </row>
    <row r="947" spans="1:6" ht="22.5" hidden="1" customHeight="1" outlineLevel="1" x14ac:dyDescent="0.25">
      <c r="A947" s="33" t="s">
        <v>795</v>
      </c>
      <c r="B947" s="79">
        <v>6</v>
      </c>
      <c r="C947" s="79" t="s">
        <v>38</v>
      </c>
      <c r="D947" s="83"/>
      <c r="E947" s="81">
        <f>B947*D947</f>
        <v>0</v>
      </c>
      <c r="F947" s="32"/>
    </row>
    <row r="948" spans="1:6" ht="15.75" hidden="1" customHeight="1" outlineLevel="1" x14ac:dyDescent="0.2">
      <c r="A948" s="35" t="s">
        <v>796</v>
      </c>
      <c r="B948" s="80"/>
      <c r="C948" s="80"/>
      <c r="D948" s="80"/>
      <c r="E948" s="82"/>
      <c r="F948" s="32"/>
    </row>
    <row r="949" spans="1:6" ht="22.5" hidden="1" customHeight="1" outlineLevel="1" x14ac:dyDescent="0.25">
      <c r="A949" s="33" t="s">
        <v>797</v>
      </c>
      <c r="B949" s="79">
        <v>900</v>
      </c>
      <c r="C949" s="79" t="s">
        <v>15</v>
      </c>
      <c r="D949" s="83"/>
      <c r="E949" s="81">
        <f>B949*D949</f>
        <v>0</v>
      </c>
      <c r="F949" s="32"/>
    </row>
    <row r="950" spans="1:6" ht="15.75" hidden="1" customHeight="1" outlineLevel="1" x14ac:dyDescent="0.2">
      <c r="A950" s="35" t="s">
        <v>798</v>
      </c>
      <c r="B950" s="80"/>
      <c r="C950" s="80"/>
      <c r="D950" s="80"/>
      <c r="E950" s="82"/>
      <c r="F950" s="32"/>
    </row>
    <row r="951" spans="1:6" ht="22.5" hidden="1" customHeight="1" outlineLevel="1" x14ac:dyDescent="0.25">
      <c r="A951" s="33" t="s">
        <v>799</v>
      </c>
      <c r="B951" s="79">
        <v>500</v>
      </c>
      <c r="C951" s="79" t="s">
        <v>15</v>
      </c>
      <c r="D951" s="83"/>
      <c r="E951" s="81">
        <f>B951*D951</f>
        <v>0</v>
      </c>
      <c r="F951" s="32"/>
    </row>
    <row r="952" spans="1:6" ht="15.75" hidden="1" customHeight="1" outlineLevel="1" x14ac:dyDescent="0.2">
      <c r="A952" s="35" t="s">
        <v>800</v>
      </c>
      <c r="B952" s="80"/>
      <c r="C952" s="80"/>
      <c r="D952" s="80"/>
      <c r="E952" s="82"/>
      <c r="F952" s="32"/>
    </row>
    <row r="953" spans="1:6" ht="22.5" hidden="1" customHeight="1" outlineLevel="1" x14ac:dyDescent="0.25">
      <c r="A953" s="33" t="s">
        <v>801</v>
      </c>
      <c r="B953" s="79">
        <v>500</v>
      </c>
      <c r="C953" s="79" t="s">
        <v>15</v>
      </c>
      <c r="D953" s="83"/>
      <c r="E953" s="81">
        <f>B953*D953</f>
        <v>0</v>
      </c>
      <c r="F953" s="32"/>
    </row>
    <row r="954" spans="1:6" ht="15.75" hidden="1" customHeight="1" outlineLevel="1" x14ac:dyDescent="0.2">
      <c r="A954" s="35" t="s">
        <v>802</v>
      </c>
      <c r="B954" s="80"/>
      <c r="C954" s="80"/>
      <c r="D954" s="80"/>
      <c r="E954" s="82"/>
      <c r="F954" s="32"/>
    </row>
    <row r="955" spans="1:6" ht="22.5" hidden="1" customHeight="1" outlineLevel="2" x14ac:dyDescent="0.25">
      <c r="A955" s="33" t="s">
        <v>553</v>
      </c>
      <c r="B955" s="79">
        <v>50</v>
      </c>
      <c r="C955" s="79" t="s">
        <v>15</v>
      </c>
      <c r="D955" s="83"/>
      <c r="E955" s="81">
        <f>B955*D955</f>
        <v>0</v>
      </c>
      <c r="F955" s="32"/>
    </row>
    <row r="956" spans="1:6" ht="15.75" hidden="1" customHeight="1" outlineLevel="2" x14ac:dyDescent="0.2">
      <c r="A956" s="35" t="s">
        <v>554</v>
      </c>
      <c r="B956" s="80"/>
      <c r="C956" s="80"/>
      <c r="D956" s="80"/>
      <c r="E956" s="82"/>
      <c r="F956" s="32"/>
    </row>
    <row r="957" spans="1:6" ht="22.5" hidden="1" customHeight="1" outlineLevel="2" x14ac:dyDescent="0.25">
      <c r="A957" s="33" t="s">
        <v>555</v>
      </c>
      <c r="B957" s="79">
        <v>160</v>
      </c>
      <c r="C957" s="79" t="s">
        <v>36</v>
      </c>
      <c r="D957" s="83"/>
      <c r="E957" s="81">
        <f>B957*D957</f>
        <v>0</v>
      </c>
      <c r="F957" s="32"/>
    </row>
    <row r="958" spans="1:6" ht="15.75" hidden="1" customHeight="1" outlineLevel="2" x14ac:dyDescent="0.2">
      <c r="A958" s="35" t="s">
        <v>803</v>
      </c>
      <c r="B958" s="80"/>
      <c r="C958" s="80"/>
      <c r="D958" s="80"/>
      <c r="E958" s="82"/>
      <c r="F958" s="32"/>
    </row>
    <row r="959" spans="1:6" ht="22.5" hidden="1" customHeight="1" outlineLevel="2" x14ac:dyDescent="0.25">
      <c r="A959" s="33" t="s">
        <v>557</v>
      </c>
      <c r="B959" s="79">
        <v>10</v>
      </c>
      <c r="C959" s="79" t="s">
        <v>15</v>
      </c>
      <c r="D959" s="83"/>
      <c r="E959" s="81">
        <f>B959*D959</f>
        <v>0</v>
      </c>
      <c r="F959" s="32"/>
    </row>
    <row r="960" spans="1:6" ht="15.75" hidden="1" customHeight="1" outlineLevel="2" x14ac:dyDescent="0.2">
      <c r="A960" s="35" t="s">
        <v>775</v>
      </c>
      <c r="B960" s="80"/>
      <c r="C960" s="80"/>
      <c r="D960" s="80"/>
      <c r="E960" s="82"/>
      <c r="F960" s="32"/>
    </row>
    <row r="961" spans="1:6" ht="22.5" hidden="1" customHeight="1" outlineLevel="2" x14ac:dyDescent="0.25">
      <c r="A961" s="33" t="s">
        <v>561</v>
      </c>
      <c r="B961" s="79">
        <v>150</v>
      </c>
      <c r="C961" s="79" t="s">
        <v>15</v>
      </c>
      <c r="D961" s="83"/>
      <c r="E961" s="81">
        <f>B961*D961</f>
        <v>0</v>
      </c>
      <c r="F961" s="32"/>
    </row>
    <row r="962" spans="1:6" ht="15.75" hidden="1" customHeight="1" outlineLevel="2" x14ac:dyDescent="0.2">
      <c r="A962" s="35" t="s">
        <v>562</v>
      </c>
      <c r="B962" s="80"/>
      <c r="C962" s="80"/>
      <c r="D962" s="80"/>
      <c r="E962" s="82"/>
      <c r="F962" s="32"/>
    </row>
    <row r="963" spans="1:6" ht="22.5" hidden="1" customHeight="1" outlineLevel="2" x14ac:dyDescent="0.25">
      <c r="A963" s="33" t="s">
        <v>563</v>
      </c>
      <c r="B963" s="79">
        <v>150</v>
      </c>
      <c r="C963" s="79" t="s">
        <v>15</v>
      </c>
      <c r="D963" s="83"/>
      <c r="E963" s="81">
        <f>B963*D963</f>
        <v>0</v>
      </c>
      <c r="F963" s="32"/>
    </row>
    <row r="964" spans="1:6" ht="15.75" hidden="1" customHeight="1" outlineLevel="2" x14ac:dyDescent="0.2">
      <c r="A964" s="35" t="s">
        <v>564</v>
      </c>
      <c r="B964" s="80"/>
      <c r="C964" s="80"/>
      <c r="D964" s="80"/>
      <c r="E964" s="82"/>
      <c r="F964" s="32"/>
    </row>
    <row r="965" spans="1:6" ht="22.5" hidden="1" customHeight="1" outlineLevel="2" x14ac:dyDescent="0.25">
      <c r="A965" s="33" t="s">
        <v>565</v>
      </c>
      <c r="B965" s="79">
        <v>250</v>
      </c>
      <c r="C965" s="79" t="s">
        <v>15</v>
      </c>
      <c r="D965" s="83"/>
      <c r="E965" s="81">
        <f>B965*D965</f>
        <v>0</v>
      </c>
      <c r="F965" s="32"/>
    </row>
    <row r="966" spans="1:6" ht="15.75" hidden="1" customHeight="1" outlineLevel="2" x14ac:dyDescent="0.2">
      <c r="A966" s="35" t="s">
        <v>564</v>
      </c>
      <c r="B966" s="80"/>
      <c r="C966" s="80"/>
      <c r="D966" s="80"/>
      <c r="E966" s="82"/>
      <c r="F966" s="32"/>
    </row>
    <row r="967" spans="1:6" ht="22.5" hidden="1" customHeight="1" outlineLevel="2" x14ac:dyDescent="0.25">
      <c r="A967" s="33" t="s">
        <v>566</v>
      </c>
      <c r="B967" s="79">
        <v>150</v>
      </c>
      <c r="C967" s="79" t="s">
        <v>15</v>
      </c>
      <c r="D967" s="83"/>
      <c r="E967" s="81">
        <f>B967*D967</f>
        <v>0</v>
      </c>
      <c r="F967" s="32"/>
    </row>
    <row r="968" spans="1:6" ht="15.75" hidden="1" customHeight="1" outlineLevel="2" x14ac:dyDescent="0.2">
      <c r="A968" s="35" t="s">
        <v>564</v>
      </c>
      <c r="B968" s="80"/>
      <c r="C968" s="80"/>
      <c r="D968" s="80"/>
      <c r="E968" s="82"/>
      <c r="F968" s="32"/>
    </row>
    <row r="969" spans="1:6" ht="22.5" hidden="1" customHeight="1" outlineLevel="2" x14ac:dyDescent="0.25">
      <c r="A969" s="33" t="s">
        <v>567</v>
      </c>
      <c r="B969" s="79">
        <v>200</v>
      </c>
      <c r="C969" s="79" t="s">
        <v>15</v>
      </c>
      <c r="D969" s="83"/>
      <c r="E969" s="81">
        <f>B969*D969</f>
        <v>0</v>
      </c>
      <c r="F969" s="32"/>
    </row>
    <row r="970" spans="1:6" ht="15.75" hidden="1" customHeight="1" outlineLevel="2" x14ac:dyDescent="0.2">
      <c r="A970" s="35" t="s">
        <v>564</v>
      </c>
      <c r="B970" s="80"/>
      <c r="C970" s="80"/>
      <c r="D970" s="80"/>
      <c r="E970" s="82"/>
      <c r="F970" s="32"/>
    </row>
    <row r="971" spans="1:6" ht="22.5" hidden="1" customHeight="1" outlineLevel="2" x14ac:dyDescent="0.25">
      <c r="A971" s="33" t="s">
        <v>594</v>
      </c>
      <c r="B971" s="79">
        <v>25</v>
      </c>
      <c r="C971" s="79" t="s">
        <v>38</v>
      </c>
      <c r="D971" s="83"/>
      <c r="E971" s="81">
        <f>B971*D971</f>
        <v>0</v>
      </c>
      <c r="F971" s="32"/>
    </row>
    <row r="972" spans="1:6" ht="15.75" hidden="1" customHeight="1" outlineLevel="2" x14ac:dyDescent="0.2">
      <c r="A972" s="35" t="s">
        <v>804</v>
      </c>
      <c r="B972" s="80"/>
      <c r="C972" s="80"/>
      <c r="D972" s="80"/>
      <c r="E972" s="82"/>
      <c r="F972" s="32"/>
    </row>
    <row r="973" spans="1:6" ht="22.5" hidden="1" customHeight="1" outlineLevel="2" x14ac:dyDescent="0.25">
      <c r="A973" s="33" t="s">
        <v>805</v>
      </c>
      <c r="B973" s="79">
        <v>500</v>
      </c>
      <c r="C973" s="79" t="s">
        <v>15</v>
      </c>
      <c r="D973" s="83"/>
      <c r="E973" s="81">
        <f>B973*D973</f>
        <v>0</v>
      </c>
      <c r="F973" s="32"/>
    </row>
    <row r="974" spans="1:6" ht="15.75" hidden="1" customHeight="1" outlineLevel="2" x14ac:dyDescent="0.2">
      <c r="A974" s="35" t="s">
        <v>806</v>
      </c>
      <c r="B974" s="80"/>
      <c r="C974" s="80"/>
      <c r="D974" s="80"/>
      <c r="E974" s="82"/>
      <c r="F974" s="32"/>
    </row>
    <row r="975" spans="1:6" ht="22.5" hidden="1" customHeight="1" outlineLevel="2" x14ac:dyDescent="0.25">
      <c r="A975" s="33" t="s">
        <v>614</v>
      </c>
      <c r="B975" s="79">
        <v>100</v>
      </c>
      <c r="C975" s="79" t="s">
        <v>15</v>
      </c>
      <c r="D975" s="83"/>
      <c r="E975" s="81">
        <f>B975*D975</f>
        <v>0</v>
      </c>
      <c r="F975" s="32"/>
    </row>
    <row r="976" spans="1:6" ht="15.75" hidden="1" customHeight="1" outlineLevel="2" x14ac:dyDescent="0.2">
      <c r="A976" s="35" t="s">
        <v>615</v>
      </c>
      <c r="B976" s="80"/>
      <c r="C976" s="80"/>
      <c r="D976" s="80"/>
      <c r="E976" s="82"/>
      <c r="F976" s="32"/>
    </row>
    <row r="977" spans="1:6" ht="22.5" hidden="1" customHeight="1" outlineLevel="2" x14ac:dyDescent="0.25">
      <c r="A977" s="33" t="s">
        <v>616</v>
      </c>
      <c r="B977" s="79">
        <v>100</v>
      </c>
      <c r="C977" s="79" t="s">
        <v>15</v>
      </c>
      <c r="D977" s="83"/>
      <c r="E977" s="81">
        <f>B977*D977</f>
        <v>0</v>
      </c>
      <c r="F977" s="32"/>
    </row>
    <row r="978" spans="1:6" ht="15.75" hidden="1" customHeight="1" outlineLevel="2" x14ac:dyDescent="0.2">
      <c r="A978" s="35" t="s">
        <v>617</v>
      </c>
      <c r="B978" s="80"/>
      <c r="C978" s="80"/>
      <c r="D978" s="80"/>
      <c r="E978" s="82"/>
      <c r="F978" s="32"/>
    </row>
    <row r="979" spans="1:6" ht="22.5" hidden="1" customHeight="1" outlineLevel="2" x14ac:dyDescent="0.25">
      <c r="A979" s="33" t="s">
        <v>618</v>
      </c>
      <c r="B979" s="79">
        <v>100</v>
      </c>
      <c r="C979" s="79" t="s">
        <v>15</v>
      </c>
      <c r="D979" s="83"/>
      <c r="E979" s="81">
        <f>B979*D979</f>
        <v>0</v>
      </c>
      <c r="F979" s="32"/>
    </row>
    <row r="980" spans="1:6" ht="15.75" hidden="1" customHeight="1" outlineLevel="2" x14ac:dyDescent="0.2">
      <c r="A980" s="35" t="s">
        <v>615</v>
      </c>
      <c r="B980" s="80"/>
      <c r="C980" s="80"/>
      <c r="D980" s="80"/>
      <c r="E980" s="82"/>
      <c r="F980" s="32"/>
    </row>
    <row r="981" spans="1:6" ht="22.5" hidden="1" customHeight="1" outlineLevel="2" x14ac:dyDescent="0.25">
      <c r="A981" s="33" t="s">
        <v>619</v>
      </c>
      <c r="B981" s="79">
        <v>300</v>
      </c>
      <c r="C981" s="79" t="s">
        <v>15</v>
      </c>
      <c r="D981" s="83"/>
      <c r="E981" s="81">
        <f>B981*D981</f>
        <v>0</v>
      </c>
      <c r="F981" s="32"/>
    </row>
    <row r="982" spans="1:6" ht="15.75" hidden="1" customHeight="1" outlineLevel="2" x14ac:dyDescent="0.2">
      <c r="A982" s="35" t="s">
        <v>620</v>
      </c>
      <c r="B982" s="80"/>
      <c r="C982" s="80"/>
      <c r="D982" s="80"/>
      <c r="E982" s="82"/>
      <c r="F982" s="32"/>
    </row>
    <row r="983" spans="1:6" ht="11.25" customHeight="1" x14ac:dyDescent="0.2">
      <c r="A983" s="84" t="s">
        <v>12</v>
      </c>
      <c r="B983" s="85"/>
      <c r="C983" s="85"/>
      <c r="D983" s="85"/>
      <c r="E983" s="85"/>
      <c r="F983" s="17"/>
    </row>
    <row r="984" spans="1:6" ht="30.75" customHeight="1" x14ac:dyDescent="0.25">
      <c r="A984" s="47" t="s">
        <v>807</v>
      </c>
      <c r="B984" s="122">
        <f>$D$2</f>
        <v>0</v>
      </c>
      <c r="C984" s="120"/>
      <c r="D984" s="120"/>
      <c r="E984" s="120"/>
      <c r="F984" s="48" t="s">
        <v>4</v>
      </c>
    </row>
    <row r="985" spans="1:6" ht="30" customHeight="1" outlineLevel="1" x14ac:dyDescent="0.25">
      <c r="A985" s="47" t="s">
        <v>808</v>
      </c>
      <c r="B985" s="123">
        <v>0</v>
      </c>
      <c r="C985" s="120"/>
      <c r="D985" s="122">
        <f>B984*B985</f>
        <v>0</v>
      </c>
      <c r="E985" s="120"/>
      <c r="F985" s="49" t="e">
        <f>D2/B2</f>
        <v>#DIV/0!</v>
      </c>
    </row>
    <row r="986" spans="1:6" ht="31.5" customHeight="1" outlineLevel="1" x14ac:dyDescent="0.25">
      <c r="A986" s="50" t="s">
        <v>809</v>
      </c>
      <c r="B986" s="124">
        <f>$B$984-($B$984*B985)</f>
        <v>0</v>
      </c>
      <c r="C986" s="125"/>
      <c r="D986" s="125"/>
      <c r="E986" s="125"/>
      <c r="F986" s="51"/>
    </row>
    <row r="987" spans="1:6" ht="30" customHeight="1" x14ac:dyDescent="0.2">
      <c r="A987" s="126" t="s">
        <v>12</v>
      </c>
      <c r="B987" s="85"/>
      <c r="C987" s="85"/>
      <c r="D987" s="85"/>
      <c r="E987" s="85"/>
      <c r="F987" s="85"/>
    </row>
    <row r="988" spans="1:6" ht="30" customHeight="1" x14ac:dyDescent="0.2">
      <c r="A988" s="126" t="s">
        <v>12</v>
      </c>
      <c r="B988" s="85"/>
      <c r="C988" s="85"/>
      <c r="D988" s="85"/>
      <c r="E988" s="85"/>
      <c r="F988" s="85"/>
    </row>
    <row r="989" spans="1:6" ht="22.5" customHeight="1" collapsed="1" x14ac:dyDescent="0.2">
      <c r="A989" s="86" t="s">
        <v>199</v>
      </c>
      <c r="B989" s="87"/>
      <c r="C989" s="87"/>
      <c r="D989" s="88"/>
      <c r="E989" s="31"/>
      <c r="F989" s="27">
        <f>SUM(E990:E1009)</f>
        <v>0</v>
      </c>
    </row>
    <row r="990" spans="1:6" ht="22.5" hidden="1" customHeight="1" outlineLevel="1" x14ac:dyDescent="0.25">
      <c r="A990" s="33" t="s">
        <v>200</v>
      </c>
      <c r="B990" s="79">
        <v>25</v>
      </c>
      <c r="C990" s="79" t="s">
        <v>36</v>
      </c>
      <c r="D990" s="83"/>
      <c r="E990" s="81">
        <f>B990*D990</f>
        <v>0</v>
      </c>
      <c r="F990" s="91" t="s">
        <v>810</v>
      </c>
    </row>
    <row r="991" spans="1:6" ht="15.75" hidden="1" customHeight="1" outlineLevel="1" x14ac:dyDescent="0.2">
      <c r="A991" s="35" t="s">
        <v>811</v>
      </c>
      <c r="B991" s="80"/>
      <c r="C991" s="80"/>
      <c r="D991" s="80"/>
      <c r="E991" s="82"/>
      <c r="F991" s="78"/>
    </row>
    <row r="992" spans="1:6" ht="22.5" hidden="1" customHeight="1" outlineLevel="1" x14ac:dyDescent="0.25">
      <c r="A992" s="33" t="s">
        <v>203</v>
      </c>
      <c r="B992" s="79">
        <v>15</v>
      </c>
      <c r="C992" s="79" t="s">
        <v>36</v>
      </c>
      <c r="D992" s="83"/>
      <c r="E992" s="81">
        <f>B992*D992</f>
        <v>0</v>
      </c>
      <c r="F992" s="24"/>
    </row>
    <row r="993" spans="1:6" ht="15.75" hidden="1" customHeight="1" outlineLevel="1" x14ac:dyDescent="0.2">
      <c r="A993" s="35" t="s">
        <v>811</v>
      </c>
      <c r="B993" s="80"/>
      <c r="C993" s="80"/>
      <c r="D993" s="80"/>
      <c r="E993" s="82"/>
      <c r="F993" s="24"/>
    </row>
    <row r="994" spans="1:6" ht="22.5" hidden="1" customHeight="1" outlineLevel="2" x14ac:dyDescent="0.25">
      <c r="A994" s="33" t="s">
        <v>204</v>
      </c>
      <c r="B994" s="79">
        <v>1500</v>
      </c>
      <c r="C994" s="79" t="s">
        <v>15</v>
      </c>
      <c r="D994" s="83"/>
      <c r="E994" s="81">
        <f>B994*D994</f>
        <v>0</v>
      </c>
      <c r="F994" s="32"/>
    </row>
    <row r="995" spans="1:6" ht="15.75" hidden="1" customHeight="1" outlineLevel="2" x14ac:dyDescent="0.2">
      <c r="A995" s="35" t="s">
        <v>205</v>
      </c>
      <c r="B995" s="80"/>
      <c r="C995" s="80"/>
      <c r="D995" s="80"/>
      <c r="E995" s="82"/>
      <c r="F995" s="32"/>
    </row>
    <row r="996" spans="1:6" ht="22.5" hidden="1" customHeight="1" outlineLevel="2" x14ac:dyDescent="0.25">
      <c r="A996" s="33" t="s">
        <v>206</v>
      </c>
      <c r="B996" s="79">
        <v>3500</v>
      </c>
      <c r="C996" s="79" t="s">
        <v>15</v>
      </c>
      <c r="D996" s="83"/>
      <c r="E996" s="81">
        <f>B996*D996</f>
        <v>0</v>
      </c>
      <c r="F996" s="32"/>
    </row>
    <row r="997" spans="1:6" ht="15.75" hidden="1" customHeight="1" outlineLevel="2" x14ac:dyDescent="0.2">
      <c r="A997" s="35" t="s">
        <v>207</v>
      </c>
      <c r="B997" s="80"/>
      <c r="C997" s="80"/>
      <c r="D997" s="80"/>
      <c r="E997" s="82"/>
      <c r="F997" s="32"/>
    </row>
    <row r="998" spans="1:6" ht="22.5" hidden="1" customHeight="1" outlineLevel="1" x14ac:dyDescent="0.25">
      <c r="A998" s="33" t="s">
        <v>208</v>
      </c>
      <c r="B998" s="79">
        <v>1500</v>
      </c>
      <c r="C998" s="79" t="s">
        <v>15</v>
      </c>
      <c r="D998" s="83"/>
      <c r="E998" s="81">
        <f>B998*D998</f>
        <v>0</v>
      </c>
      <c r="F998" s="32"/>
    </row>
    <row r="999" spans="1:6" ht="15.75" hidden="1" customHeight="1" outlineLevel="1" x14ac:dyDescent="0.2">
      <c r="A999" s="35" t="s">
        <v>209</v>
      </c>
      <c r="B999" s="80"/>
      <c r="C999" s="80"/>
      <c r="D999" s="80"/>
      <c r="E999" s="82"/>
      <c r="F999" s="32"/>
    </row>
    <row r="1000" spans="1:6" ht="22.5" hidden="1" customHeight="1" outlineLevel="1" x14ac:dyDescent="0.25">
      <c r="A1000" s="33" t="s">
        <v>210</v>
      </c>
      <c r="B1000" s="79">
        <v>3500</v>
      </c>
      <c r="C1000" s="79" t="s">
        <v>15</v>
      </c>
      <c r="D1000" s="83"/>
      <c r="E1000" s="81">
        <f>B1000*D1000</f>
        <v>0</v>
      </c>
      <c r="F1000" s="32"/>
    </row>
    <row r="1001" spans="1:6" ht="15.75" hidden="1" customHeight="1" outlineLevel="1" x14ac:dyDescent="0.2">
      <c r="A1001" s="35" t="s">
        <v>211</v>
      </c>
      <c r="B1001" s="80"/>
      <c r="C1001" s="80"/>
      <c r="D1001" s="80"/>
      <c r="E1001" s="82"/>
      <c r="F1001" s="32"/>
    </row>
    <row r="1002" spans="1:6" ht="22.5" hidden="1" customHeight="1" outlineLevel="1" x14ac:dyDescent="0.25">
      <c r="A1002" s="33" t="s">
        <v>212</v>
      </c>
      <c r="B1002" s="79">
        <v>1500</v>
      </c>
      <c r="C1002" s="79" t="s">
        <v>15</v>
      </c>
      <c r="D1002" s="83"/>
      <c r="E1002" s="81">
        <f>B1002*D1002</f>
        <v>0</v>
      </c>
      <c r="F1002" s="32"/>
    </row>
    <row r="1003" spans="1:6" ht="15.75" hidden="1" customHeight="1" outlineLevel="1" x14ac:dyDescent="0.2">
      <c r="A1003" s="35" t="s">
        <v>213</v>
      </c>
      <c r="B1003" s="80"/>
      <c r="C1003" s="80"/>
      <c r="D1003" s="80"/>
      <c r="E1003" s="82"/>
      <c r="F1003" s="32"/>
    </row>
    <row r="1004" spans="1:6" ht="22.5" hidden="1" customHeight="1" outlineLevel="1" x14ac:dyDescent="0.25">
      <c r="A1004" s="33" t="s">
        <v>214</v>
      </c>
      <c r="B1004" s="79">
        <v>3500</v>
      </c>
      <c r="C1004" s="79" t="s">
        <v>15</v>
      </c>
      <c r="D1004" s="83"/>
      <c r="E1004" s="81">
        <f>B1004*D1004</f>
        <v>0</v>
      </c>
      <c r="F1004" s="32"/>
    </row>
    <row r="1005" spans="1:6" ht="15.75" hidden="1" customHeight="1" outlineLevel="1" x14ac:dyDescent="0.2">
      <c r="A1005" s="35" t="s">
        <v>215</v>
      </c>
      <c r="B1005" s="80"/>
      <c r="C1005" s="80"/>
      <c r="D1005" s="80"/>
      <c r="E1005" s="82"/>
      <c r="F1005" s="32"/>
    </row>
    <row r="1006" spans="1:6" ht="22.5" hidden="1" customHeight="1" outlineLevel="1" x14ac:dyDescent="0.25">
      <c r="A1006" s="33" t="s">
        <v>216</v>
      </c>
      <c r="B1006" s="79">
        <v>1500</v>
      </c>
      <c r="C1006" s="79" t="s">
        <v>15</v>
      </c>
      <c r="D1006" s="83"/>
      <c r="E1006" s="81">
        <f>B1006*D1006</f>
        <v>0</v>
      </c>
      <c r="F1006" s="32"/>
    </row>
    <row r="1007" spans="1:6" ht="15.75" hidden="1" customHeight="1" outlineLevel="1" x14ac:dyDescent="0.2">
      <c r="A1007" s="35" t="s">
        <v>217</v>
      </c>
      <c r="B1007" s="80"/>
      <c r="C1007" s="80"/>
      <c r="D1007" s="80"/>
      <c r="E1007" s="82"/>
      <c r="F1007" s="32"/>
    </row>
    <row r="1008" spans="1:6" ht="22.5" hidden="1" customHeight="1" outlineLevel="1" x14ac:dyDescent="0.25">
      <c r="A1008" s="33" t="s">
        <v>218</v>
      </c>
      <c r="B1008" s="79">
        <v>3500</v>
      </c>
      <c r="C1008" s="79" t="s">
        <v>15</v>
      </c>
      <c r="D1008" s="83"/>
      <c r="E1008" s="81">
        <f>B1008*D1008</f>
        <v>0</v>
      </c>
      <c r="F1008" s="32"/>
    </row>
    <row r="1009" spans="1:6" ht="15.75" hidden="1" customHeight="1" outlineLevel="1" x14ac:dyDescent="0.2">
      <c r="A1009" s="35" t="s">
        <v>219</v>
      </c>
      <c r="B1009" s="80"/>
      <c r="C1009" s="80"/>
      <c r="D1009" s="80"/>
      <c r="E1009" s="82"/>
      <c r="F1009" s="32"/>
    </row>
    <row r="1010" spans="1:6" ht="11.25" customHeight="1" x14ac:dyDescent="0.2">
      <c r="A1010" s="121" t="s">
        <v>12</v>
      </c>
      <c r="B1010" s="85"/>
      <c r="C1010" s="85"/>
      <c r="D1010" s="85"/>
      <c r="E1010" s="85"/>
      <c r="F1010" s="17"/>
    </row>
    <row r="1011" spans="1:6" ht="30.75" customHeight="1" x14ac:dyDescent="0.25">
      <c r="A1011" s="47" t="s">
        <v>807</v>
      </c>
      <c r="B1011" s="122">
        <f>$C$6+$E$6</f>
        <v>0</v>
      </c>
      <c r="C1011" s="120"/>
      <c r="D1011" s="120"/>
      <c r="E1011" s="120"/>
      <c r="F1011" s="48" t="s">
        <v>4</v>
      </c>
    </row>
    <row r="1012" spans="1:6" ht="30" customHeight="1" outlineLevel="1" x14ac:dyDescent="0.25">
      <c r="A1012" s="47" t="s">
        <v>808</v>
      </c>
      <c r="B1012" s="123">
        <v>0</v>
      </c>
      <c r="C1012" s="120"/>
      <c r="D1012" s="122">
        <f>B1011*B1012</f>
        <v>0</v>
      </c>
      <c r="E1012" s="120"/>
      <c r="F1012" s="49" t="e">
        <f>B1013/F989</f>
        <v>#DIV/0!</v>
      </c>
    </row>
    <row r="1013" spans="1:6" ht="31.5" customHeight="1" outlineLevel="1" x14ac:dyDescent="0.25">
      <c r="A1013" s="50" t="s">
        <v>809</v>
      </c>
      <c r="B1013" s="124">
        <f>$B$1011-($B$1011*B1012)</f>
        <v>0</v>
      </c>
      <c r="C1013" s="125"/>
      <c r="D1013" s="125"/>
      <c r="E1013" s="125"/>
      <c r="F1013" s="51"/>
    </row>
    <row r="1014" spans="1:6" ht="11.25" customHeight="1" x14ac:dyDescent="0.2">
      <c r="A1014" s="117" t="s">
        <v>12</v>
      </c>
      <c r="B1014" s="85"/>
      <c r="C1014" s="85"/>
      <c r="D1014" s="85"/>
      <c r="E1014" s="85"/>
    </row>
    <row r="1015" spans="1:6" ht="48.75" customHeight="1" x14ac:dyDescent="0.2">
      <c r="A1015" s="118" t="s">
        <v>812</v>
      </c>
      <c r="B1015" s="85"/>
      <c r="C1015" s="85"/>
      <c r="D1015" s="85"/>
      <c r="E1015" s="15"/>
    </row>
    <row r="1016" spans="1:6" ht="48" customHeight="1" x14ac:dyDescent="0.2">
      <c r="A1016" s="52" t="s">
        <v>813</v>
      </c>
      <c r="B1016" s="53"/>
      <c r="C1016" s="119" t="s">
        <v>814</v>
      </c>
      <c r="D1016" s="120"/>
      <c r="E1016" s="15"/>
    </row>
    <row r="1017" spans="1:6" ht="15.75" customHeight="1" x14ac:dyDescent="0.2">
      <c r="A1017" s="54"/>
      <c r="B1017" s="6"/>
      <c r="C1017" s="6"/>
      <c r="D1017" s="6"/>
      <c r="E1017" s="15"/>
    </row>
    <row r="1018" spans="1:6" ht="15.75" customHeight="1" x14ac:dyDescent="0.2">
      <c r="A1018" s="54"/>
      <c r="B1018" s="6"/>
      <c r="C1018" s="6"/>
      <c r="D1018" s="6"/>
      <c r="E1018" s="15"/>
    </row>
    <row r="1019" spans="1:6" ht="15.75" customHeight="1" x14ac:dyDescent="0.2">
      <c r="A1019" s="54"/>
      <c r="B1019" s="6"/>
      <c r="C1019" s="6"/>
      <c r="D1019" s="6"/>
      <c r="E1019" s="15"/>
    </row>
    <row r="1020" spans="1:6" ht="15.75" customHeight="1" x14ac:dyDescent="0.2">
      <c r="A1020" s="54"/>
      <c r="B1020" s="6"/>
      <c r="C1020" s="6"/>
      <c r="D1020" s="6"/>
      <c r="E1020" s="15"/>
    </row>
    <row r="1021" spans="1:6" ht="15.75" customHeight="1" x14ac:dyDescent="0.2">
      <c r="A1021" s="54"/>
      <c r="B1021" s="6"/>
      <c r="C1021" s="6"/>
      <c r="D1021" s="6"/>
      <c r="E1021" s="15"/>
    </row>
    <row r="1022" spans="1:6" ht="15.75" customHeight="1" x14ac:dyDescent="0.2">
      <c r="A1022" s="54"/>
      <c r="B1022" s="6"/>
      <c r="C1022" s="6"/>
      <c r="D1022" s="6"/>
      <c r="E1022" s="15"/>
    </row>
    <row r="1023" spans="1:6" ht="15.75" customHeight="1" x14ac:dyDescent="0.2">
      <c r="A1023" s="54"/>
      <c r="B1023" s="6"/>
      <c r="C1023" s="6"/>
      <c r="D1023" s="6"/>
      <c r="E1023" s="15"/>
    </row>
    <row r="1024" spans="1:6" ht="15.75" customHeight="1" x14ac:dyDescent="0.2">
      <c r="A1024" s="54"/>
      <c r="B1024" s="6"/>
      <c r="C1024" s="6"/>
      <c r="D1024" s="6"/>
      <c r="E1024" s="15"/>
    </row>
    <row r="1025" spans="1:5" ht="15.75" customHeight="1" x14ac:dyDescent="0.2">
      <c r="A1025" s="54"/>
      <c r="B1025" s="6"/>
      <c r="C1025" s="6"/>
      <c r="D1025" s="6"/>
      <c r="E1025" s="15"/>
    </row>
    <row r="1026" spans="1:5" ht="15.75" customHeight="1" x14ac:dyDescent="0.2">
      <c r="A1026" s="54"/>
      <c r="B1026" s="6"/>
      <c r="C1026" s="6"/>
      <c r="D1026" s="6"/>
      <c r="E1026" s="15"/>
    </row>
    <row r="1027" spans="1:5" ht="15.75" customHeight="1" x14ac:dyDescent="0.2">
      <c r="A1027" s="54"/>
      <c r="B1027" s="6"/>
      <c r="C1027" s="6"/>
      <c r="D1027" s="6"/>
      <c r="E1027" s="15"/>
    </row>
    <row r="1028" spans="1:5" ht="15.75" customHeight="1" x14ac:dyDescent="0.2">
      <c r="A1028" s="54"/>
      <c r="B1028" s="6"/>
      <c r="C1028" s="6"/>
      <c r="D1028" s="6"/>
      <c r="E1028" s="15"/>
    </row>
    <row r="1029" spans="1:5" ht="15.75" customHeight="1" x14ac:dyDescent="0.2">
      <c r="A1029" s="54"/>
      <c r="B1029" s="6"/>
      <c r="C1029" s="6"/>
      <c r="D1029" s="6"/>
      <c r="E1029" s="15"/>
    </row>
    <row r="1030" spans="1:5" ht="15.75" customHeight="1" x14ac:dyDescent="0.2">
      <c r="A1030" s="54"/>
      <c r="B1030" s="6"/>
      <c r="C1030" s="6"/>
      <c r="D1030" s="6"/>
      <c r="E1030" s="15"/>
    </row>
    <row r="1031" spans="1:5" ht="15.75" customHeight="1" x14ac:dyDescent="0.2">
      <c r="A1031" s="54"/>
      <c r="B1031" s="6"/>
      <c r="C1031" s="6"/>
      <c r="D1031" s="6"/>
      <c r="E1031" s="15"/>
    </row>
    <row r="1032" spans="1:5" ht="15.75" customHeight="1" x14ac:dyDescent="0.2">
      <c r="A1032" s="54"/>
      <c r="B1032" s="6"/>
      <c r="C1032" s="6"/>
      <c r="D1032" s="6"/>
      <c r="E1032" s="15"/>
    </row>
    <row r="1033" spans="1:5" ht="15.75" customHeight="1" x14ac:dyDescent="0.2">
      <c r="A1033" s="54"/>
      <c r="B1033" s="6"/>
      <c r="C1033" s="6"/>
      <c r="D1033" s="6"/>
      <c r="E1033" s="15"/>
    </row>
    <row r="1034" spans="1:5" ht="15.75" customHeight="1" x14ac:dyDescent="0.2">
      <c r="A1034" s="54"/>
      <c r="B1034" s="6"/>
      <c r="C1034" s="6"/>
      <c r="D1034" s="6"/>
      <c r="E1034" s="15"/>
    </row>
    <row r="1035" spans="1:5" ht="15.75" customHeight="1" x14ac:dyDescent="0.2">
      <c r="A1035" s="54"/>
      <c r="B1035" s="6"/>
      <c r="C1035" s="6"/>
      <c r="D1035" s="6"/>
      <c r="E1035" s="15"/>
    </row>
    <row r="1036" spans="1:5" ht="15.75" customHeight="1" x14ac:dyDescent="0.2">
      <c r="A1036" s="54"/>
      <c r="B1036" s="6"/>
      <c r="C1036" s="6"/>
      <c r="D1036" s="6"/>
      <c r="E1036" s="15"/>
    </row>
    <row r="1037" spans="1:5" ht="15.75" customHeight="1" x14ac:dyDescent="0.2">
      <c r="A1037" s="54"/>
      <c r="B1037" s="6"/>
      <c r="C1037" s="6"/>
      <c r="D1037" s="6"/>
      <c r="E1037" s="15"/>
    </row>
    <row r="1038" spans="1:5" ht="15.75" customHeight="1" x14ac:dyDescent="0.2">
      <c r="A1038" s="54"/>
      <c r="B1038" s="6"/>
      <c r="C1038" s="6"/>
      <c r="D1038" s="6"/>
      <c r="E1038" s="15"/>
    </row>
    <row r="1039" spans="1:5" ht="15.75" customHeight="1" x14ac:dyDescent="0.2">
      <c r="A1039" s="54"/>
      <c r="B1039" s="6"/>
      <c r="C1039" s="6"/>
      <c r="D1039" s="6"/>
      <c r="E1039" s="15"/>
    </row>
    <row r="1040" spans="1:5" ht="15.75" customHeight="1" x14ac:dyDescent="0.2">
      <c r="A1040" s="54"/>
      <c r="B1040" s="6"/>
      <c r="C1040" s="6"/>
      <c r="D1040" s="6"/>
      <c r="E1040" s="15"/>
    </row>
    <row r="1041" spans="1:5" ht="15.75" customHeight="1" x14ac:dyDescent="0.2">
      <c r="A1041" s="54"/>
      <c r="B1041" s="6"/>
      <c r="C1041" s="6"/>
      <c r="D1041" s="6"/>
      <c r="E1041" s="15"/>
    </row>
    <row r="1042" spans="1:5" ht="15.75" customHeight="1" x14ac:dyDescent="0.2">
      <c r="A1042" s="54"/>
      <c r="B1042" s="6"/>
      <c r="C1042" s="6"/>
      <c r="D1042" s="6"/>
      <c r="E1042" s="15"/>
    </row>
    <row r="1043" spans="1:5" ht="15.75" customHeight="1" x14ac:dyDescent="0.2">
      <c r="A1043" s="54"/>
      <c r="B1043" s="6"/>
      <c r="C1043" s="6"/>
      <c r="D1043" s="6"/>
      <c r="E1043" s="15"/>
    </row>
    <row r="1044" spans="1:5" ht="15.75" customHeight="1" x14ac:dyDescent="0.2">
      <c r="A1044" s="54"/>
      <c r="B1044" s="6"/>
      <c r="C1044" s="6"/>
      <c r="D1044" s="6"/>
      <c r="E1044" s="15"/>
    </row>
    <row r="1045" spans="1:5" ht="15.75" customHeight="1" x14ac:dyDescent="0.2">
      <c r="A1045" s="54"/>
      <c r="B1045" s="6"/>
      <c r="C1045" s="6"/>
      <c r="D1045" s="6"/>
      <c r="E1045" s="15"/>
    </row>
    <row r="1046" spans="1:5" ht="15.75" customHeight="1" x14ac:dyDescent="0.2">
      <c r="A1046" s="54"/>
      <c r="B1046" s="6"/>
      <c r="C1046" s="6"/>
      <c r="D1046" s="6"/>
      <c r="E1046" s="15"/>
    </row>
    <row r="1047" spans="1:5" ht="15.75" customHeight="1" x14ac:dyDescent="0.2">
      <c r="A1047" s="54"/>
      <c r="B1047" s="6"/>
      <c r="C1047" s="6"/>
      <c r="D1047" s="6"/>
      <c r="E1047" s="15"/>
    </row>
    <row r="1048" spans="1:5" ht="15.75" customHeight="1" x14ac:dyDescent="0.2">
      <c r="A1048" s="54"/>
      <c r="B1048" s="6"/>
      <c r="C1048" s="6"/>
      <c r="D1048" s="6"/>
      <c r="E1048" s="15"/>
    </row>
    <row r="1049" spans="1:5" ht="15.75" customHeight="1" x14ac:dyDescent="0.2">
      <c r="A1049" s="54"/>
      <c r="B1049" s="6"/>
      <c r="C1049" s="6"/>
      <c r="D1049" s="6"/>
      <c r="E1049" s="15"/>
    </row>
    <row r="1050" spans="1:5" ht="15.75" customHeight="1" x14ac:dyDescent="0.2">
      <c r="A1050" s="54"/>
      <c r="B1050" s="6"/>
      <c r="C1050" s="6"/>
      <c r="D1050" s="6"/>
      <c r="E1050" s="15"/>
    </row>
    <row r="1051" spans="1:5" ht="15.75" customHeight="1" x14ac:dyDescent="0.2">
      <c r="A1051" s="54"/>
      <c r="B1051" s="6"/>
      <c r="C1051" s="6"/>
      <c r="D1051" s="6"/>
      <c r="E1051" s="15"/>
    </row>
    <row r="1052" spans="1:5" ht="15.75" customHeight="1" x14ac:dyDescent="0.2">
      <c r="A1052" s="54"/>
      <c r="B1052" s="6"/>
      <c r="C1052" s="6"/>
      <c r="D1052" s="6"/>
      <c r="E1052" s="15"/>
    </row>
    <row r="1053" spans="1:5" ht="15.75" customHeight="1" x14ac:dyDescent="0.2">
      <c r="A1053" s="54"/>
      <c r="B1053" s="6"/>
      <c r="C1053" s="6"/>
      <c r="D1053" s="6"/>
      <c r="E1053" s="15"/>
    </row>
    <row r="1054" spans="1:5" ht="15.75" customHeight="1" x14ac:dyDescent="0.2">
      <c r="A1054" s="54"/>
      <c r="B1054" s="6"/>
      <c r="C1054" s="6"/>
      <c r="D1054" s="6"/>
      <c r="E1054" s="15"/>
    </row>
    <row r="1055" spans="1:5" ht="15.75" customHeight="1" x14ac:dyDescent="0.2">
      <c r="A1055" s="54"/>
      <c r="B1055" s="6"/>
      <c r="C1055" s="6"/>
      <c r="D1055" s="6"/>
      <c r="E1055" s="15"/>
    </row>
    <row r="1056" spans="1:5" ht="15.75" customHeight="1" x14ac:dyDescent="0.2">
      <c r="A1056" s="54"/>
      <c r="B1056" s="6"/>
      <c r="C1056" s="6"/>
      <c r="D1056" s="6"/>
      <c r="E1056" s="15"/>
    </row>
    <row r="1057" spans="1:5" ht="15.75" customHeight="1" x14ac:dyDescent="0.2">
      <c r="A1057" s="54"/>
      <c r="B1057" s="6"/>
      <c r="C1057" s="6"/>
      <c r="D1057" s="6"/>
      <c r="E1057" s="15"/>
    </row>
    <row r="1058" spans="1:5" ht="15.75" customHeight="1" x14ac:dyDescent="0.2">
      <c r="A1058" s="54"/>
      <c r="B1058" s="6"/>
      <c r="C1058" s="6"/>
      <c r="D1058" s="6"/>
      <c r="E1058" s="15"/>
    </row>
    <row r="1059" spans="1:5" ht="15.75" customHeight="1" x14ac:dyDescent="0.2">
      <c r="A1059" s="54"/>
      <c r="B1059" s="6"/>
      <c r="C1059" s="6"/>
      <c r="D1059" s="6"/>
      <c r="E1059" s="15"/>
    </row>
    <row r="1060" spans="1:5" ht="15.75" customHeight="1" x14ac:dyDescent="0.2">
      <c r="A1060" s="54"/>
      <c r="B1060" s="6"/>
      <c r="C1060" s="6"/>
      <c r="D1060" s="6"/>
      <c r="E1060" s="15"/>
    </row>
    <row r="1061" spans="1:5" ht="15.75" customHeight="1" x14ac:dyDescent="0.2">
      <c r="A1061" s="54"/>
      <c r="B1061" s="6"/>
      <c r="C1061" s="6"/>
      <c r="D1061" s="6"/>
      <c r="E1061" s="15"/>
    </row>
    <row r="1062" spans="1:5" ht="15.75" customHeight="1" x14ac:dyDescent="0.2">
      <c r="A1062" s="54"/>
      <c r="B1062" s="6"/>
      <c r="C1062" s="6"/>
      <c r="D1062" s="6"/>
      <c r="E1062" s="15"/>
    </row>
    <row r="1063" spans="1:5" ht="15.75" customHeight="1" x14ac:dyDescent="0.2">
      <c r="A1063" s="54"/>
      <c r="B1063" s="6"/>
      <c r="C1063" s="6"/>
      <c r="D1063" s="6"/>
      <c r="E1063" s="15"/>
    </row>
    <row r="1064" spans="1:5" ht="15.75" customHeight="1" x14ac:dyDescent="0.2">
      <c r="A1064" s="54"/>
      <c r="B1064" s="6"/>
      <c r="C1064" s="6"/>
      <c r="D1064" s="6"/>
      <c r="E1064" s="15"/>
    </row>
    <row r="1065" spans="1:5" ht="15.75" customHeight="1" x14ac:dyDescent="0.2">
      <c r="A1065" s="54"/>
      <c r="B1065" s="6"/>
      <c r="C1065" s="6"/>
      <c r="D1065" s="6"/>
      <c r="E1065" s="15"/>
    </row>
    <row r="1066" spans="1:5" ht="15.75" customHeight="1" x14ac:dyDescent="0.2">
      <c r="A1066" s="54"/>
      <c r="B1066" s="6"/>
      <c r="C1066" s="6"/>
      <c r="D1066" s="6"/>
      <c r="E1066" s="15"/>
    </row>
    <row r="1067" spans="1:5" ht="15.75" customHeight="1" x14ac:dyDescent="0.2">
      <c r="A1067" s="54"/>
      <c r="B1067" s="6"/>
      <c r="C1067" s="6"/>
      <c r="D1067" s="6"/>
      <c r="E1067" s="15"/>
    </row>
    <row r="1068" spans="1:5" ht="15.75" customHeight="1" x14ac:dyDescent="0.2">
      <c r="A1068" s="54"/>
      <c r="B1068" s="6"/>
      <c r="C1068" s="6"/>
      <c r="D1068" s="6"/>
      <c r="E1068" s="15"/>
    </row>
    <row r="1069" spans="1:5" ht="15.75" customHeight="1" x14ac:dyDescent="0.2">
      <c r="A1069" s="54"/>
      <c r="B1069" s="6"/>
      <c r="C1069" s="6"/>
      <c r="D1069" s="6"/>
      <c r="E1069" s="15"/>
    </row>
    <row r="1070" spans="1:5" ht="15.75" customHeight="1" x14ac:dyDescent="0.2">
      <c r="A1070" s="54"/>
      <c r="B1070" s="6"/>
      <c r="C1070" s="6"/>
      <c r="D1070" s="6"/>
      <c r="E1070" s="15"/>
    </row>
    <row r="1071" spans="1:5" ht="15.75" customHeight="1" x14ac:dyDescent="0.2">
      <c r="A1071" s="54"/>
      <c r="B1071" s="6"/>
      <c r="C1071" s="6"/>
      <c r="D1071" s="6"/>
      <c r="E1071" s="15"/>
    </row>
    <row r="1072" spans="1:5" ht="15.75" customHeight="1" x14ac:dyDescent="0.2">
      <c r="A1072" s="54"/>
      <c r="B1072" s="6"/>
      <c r="C1072" s="6"/>
      <c r="D1072" s="6"/>
      <c r="E1072" s="15"/>
    </row>
  </sheetData>
  <mergeCells count="2011">
    <mergeCell ref="D426:D427"/>
    <mergeCell ref="E426:E427"/>
    <mergeCell ref="B422:B423"/>
    <mergeCell ref="B424:B425"/>
    <mergeCell ref="C424:C425"/>
    <mergeCell ref="D424:D425"/>
    <mergeCell ref="E424:E425"/>
    <mergeCell ref="B426:B427"/>
    <mergeCell ref="C426:C427"/>
    <mergeCell ref="D430:D431"/>
    <mergeCell ref="E430:E431"/>
    <mergeCell ref="B428:B429"/>
    <mergeCell ref="C428:C429"/>
    <mergeCell ref="D428:D429"/>
    <mergeCell ref="E428:E429"/>
    <mergeCell ref="F428:F429"/>
    <mergeCell ref="B430:B431"/>
    <mergeCell ref="C430:C431"/>
    <mergeCell ref="E434:E435"/>
    <mergeCell ref="F434:F435"/>
    <mergeCell ref="B432:B433"/>
    <mergeCell ref="C432:C433"/>
    <mergeCell ref="D432:D433"/>
    <mergeCell ref="E432:E433"/>
    <mergeCell ref="B434:B435"/>
    <mergeCell ref="C434:C435"/>
    <mergeCell ref="D434:D435"/>
    <mergeCell ref="D438:D439"/>
    <mergeCell ref="E438:E439"/>
    <mergeCell ref="B436:B437"/>
    <mergeCell ref="C436:C437"/>
    <mergeCell ref="D436:D437"/>
    <mergeCell ref="E436:E437"/>
    <mergeCell ref="F436:F437"/>
    <mergeCell ref="C438:C439"/>
    <mergeCell ref="F438:F439"/>
    <mergeCell ref="B438:B439"/>
    <mergeCell ref="B398:B399"/>
    <mergeCell ref="C398:C399"/>
    <mergeCell ref="D398:D399"/>
    <mergeCell ref="E398:E399"/>
    <mergeCell ref="C400:C401"/>
    <mergeCell ref="D400:D401"/>
    <mergeCell ref="E400:E401"/>
    <mergeCell ref="B400:B401"/>
    <mergeCell ref="B402:B403"/>
    <mergeCell ref="C402:C403"/>
    <mergeCell ref="D402:D403"/>
    <mergeCell ref="E402:E403"/>
    <mergeCell ref="B404:B405"/>
    <mergeCell ref="C404:C405"/>
    <mergeCell ref="B406:B407"/>
    <mergeCell ref="C406:C407"/>
    <mergeCell ref="D406:D407"/>
    <mergeCell ref="E406:E407"/>
    <mergeCell ref="C408:C409"/>
    <mergeCell ref="D408:D409"/>
    <mergeCell ref="E408:E409"/>
    <mergeCell ref="B408:B409"/>
    <mergeCell ref="B410:B411"/>
    <mergeCell ref="C410:C411"/>
    <mergeCell ref="D410:D411"/>
    <mergeCell ref="E410:E411"/>
    <mergeCell ref="A412:E412"/>
    <mergeCell ref="A413:D413"/>
    <mergeCell ref="D422:D423"/>
    <mergeCell ref="E422:E423"/>
    <mergeCell ref="B414:B415"/>
    <mergeCell ref="C414:C415"/>
    <mergeCell ref="D414:D415"/>
    <mergeCell ref="E414:E415"/>
    <mergeCell ref="F414:F415"/>
    <mergeCell ref="C422:C423"/>
    <mergeCell ref="F422:F423"/>
    <mergeCell ref="B440:B441"/>
    <mergeCell ref="C440:C441"/>
    <mergeCell ref="D440:D441"/>
    <mergeCell ref="E440:E441"/>
    <mergeCell ref="A442:E442"/>
    <mergeCell ref="A443:D443"/>
    <mergeCell ref="D462:D463"/>
    <mergeCell ref="E462:E463"/>
    <mergeCell ref="B460:B461"/>
    <mergeCell ref="C460:C461"/>
    <mergeCell ref="D460:D461"/>
    <mergeCell ref="E460:E461"/>
    <mergeCell ref="F460:F461"/>
    <mergeCell ref="B462:B463"/>
    <mergeCell ref="C462:C463"/>
    <mergeCell ref="A464:E464"/>
    <mergeCell ref="A465:D465"/>
    <mergeCell ref="D452:D453"/>
    <mergeCell ref="E452:E453"/>
    <mergeCell ref="C454:C455"/>
    <mergeCell ref="D454:D455"/>
    <mergeCell ref="E454:E455"/>
    <mergeCell ref="D458:D459"/>
    <mergeCell ref="E458:E459"/>
    <mergeCell ref="B454:B455"/>
    <mergeCell ref="B456:B457"/>
    <mergeCell ref="C456:C457"/>
    <mergeCell ref="D456:D457"/>
    <mergeCell ref="E456:E457"/>
    <mergeCell ref="B458:B459"/>
    <mergeCell ref="C458:C459"/>
    <mergeCell ref="B466:B467"/>
    <mergeCell ref="C466:C467"/>
    <mergeCell ref="D466:D467"/>
    <mergeCell ref="E466:E467"/>
    <mergeCell ref="E468:E469"/>
    <mergeCell ref="F480:F481"/>
    <mergeCell ref="F484:F485"/>
    <mergeCell ref="F488:F489"/>
    <mergeCell ref="F492:F493"/>
    <mergeCell ref="C468:C469"/>
    <mergeCell ref="D468:D469"/>
    <mergeCell ref="F468:F469"/>
    <mergeCell ref="F470:F471"/>
    <mergeCell ref="F472:F473"/>
    <mergeCell ref="F474:F475"/>
    <mergeCell ref="F476:F477"/>
    <mergeCell ref="D472:D473"/>
    <mergeCell ref="E472:E473"/>
    <mergeCell ref="B468:B469"/>
    <mergeCell ref="B470:B471"/>
    <mergeCell ref="C470:C471"/>
    <mergeCell ref="D470:D471"/>
    <mergeCell ref="E470:E471"/>
    <mergeCell ref="B472:B473"/>
    <mergeCell ref="C472:C473"/>
    <mergeCell ref="B474:B475"/>
    <mergeCell ref="C474:C475"/>
    <mergeCell ref="D474:D475"/>
    <mergeCell ref="E474:E475"/>
    <mergeCell ref="C476:C477"/>
    <mergeCell ref="D476:D477"/>
    <mergeCell ref="E476:E477"/>
    <mergeCell ref="B476:B477"/>
    <mergeCell ref="B478:B479"/>
    <mergeCell ref="C478:C479"/>
    <mergeCell ref="D478:D479"/>
    <mergeCell ref="E478:E479"/>
    <mergeCell ref="B480:B481"/>
    <mergeCell ref="C480:C481"/>
    <mergeCell ref="C484:C485"/>
    <mergeCell ref="D484:D485"/>
    <mergeCell ref="D480:D481"/>
    <mergeCell ref="E480:E481"/>
    <mergeCell ref="B482:B483"/>
    <mergeCell ref="C482:C483"/>
    <mergeCell ref="D482:D483"/>
    <mergeCell ref="E482:E483"/>
    <mergeCell ref="E484:E485"/>
    <mergeCell ref="D488:D489"/>
    <mergeCell ref="E488:E489"/>
    <mergeCell ref="B484:B485"/>
    <mergeCell ref="B486:B487"/>
    <mergeCell ref="C486:C487"/>
    <mergeCell ref="D486:D487"/>
    <mergeCell ref="E486:E487"/>
    <mergeCell ref="B488:B489"/>
    <mergeCell ref="C488:C489"/>
    <mergeCell ref="B490:B491"/>
    <mergeCell ref="C490:C491"/>
    <mergeCell ref="D490:D491"/>
    <mergeCell ref="E490:E491"/>
    <mergeCell ref="C492:C493"/>
    <mergeCell ref="D492:D493"/>
    <mergeCell ref="E492:E493"/>
    <mergeCell ref="B492:B493"/>
    <mergeCell ref="B494:B495"/>
    <mergeCell ref="C494:C495"/>
    <mergeCell ref="D494:D495"/>
    <mergeCell ref="E494:E495"/>
    <mergeCell ref="B496:B497"/>
    <mergeCell ref="C496:C497"/>
    <mergeCell ref="B444:B445"/>
    <mergeCell ref="C444:C445"/>
    <mergeCell ref="D444:D445"/>
    <mergeCell ref="E444:E445"/>
    <mergeCell ref="C446:C447"/>
    <mergeCell ref="D446:D447"/>
    <mergeCell ref="E446:E447"/>
    <mergeCell ref="D450:D451"/>
    <mergeCell ref="E450:E451"/>
    <mergeCell ref="B446:B447"/>
    <mergeCell ref="B448:B449"/>
    <mergeCell ref="C448:C449"/>
    <mergeCell ref="D448:D449"/>
    <mergeCell ref="E448:E449"/>
    <mergeCell ref="B450:B451"/>
    <mergeCell ref="C450:C451"/>
    <mergeCell ref="B452:B453"/>
    <mergeCell ref="C452:C453"/>
    <mergeCell ref="B500:B501"/>
    <mergeCell ref="B502:B503"/>
    <mergeCell ref="C502:C503"/>
    <mergeCell ref="D502:D503"/>
    <mergeCell ref="E502:E503"/>
    <mergeCell ref="D521:D522"/>
    <mergeCell ref="E521:E522"/>
    <mergeCell ref="B517:B518"/>
    <mergeCell ref="B519:B520"/>
    <mergeCell ref="C519:C520"/>
    <mergeCell ref="D519:D520"/>
    <mergeCell ref="E519:E520"/>
    <mergeCell ref="B521:B522"/>
    <mergeCell ref="C521:C522"/>
    <mergeCell ref="C500:C501"/>
    <mergeCell ref="D500:D501"/>
    <mergeCell ref="D496:D497"/>
    <mergeCell ref="E496:E497"/>
    <mergeCell ref="B498:B499"/>
    <mergeCell ref="C498:C499"/>
    <mergeCell ref="D498:D499"/>
    <mergeCell ref="E498:E499"/>
    <mergeCell ref="E500:E501"/>
    <mergeCell ref="A504:E504"/>
    <mergeCell ref="A505:D505"/>
    <mergeCell ref="B506:B507"/>
    <mergeCell ref="C506:C507"/>
    <mergeCell ref="D506:D507"/>
    <mergeCell ref="E506:E507"/>
    <mergeCell ref="B508:B509"/>
    <mergeCell ref="E508:E509"/>
    <mergeCell ref="C512:C513"/>
    <mergeCell ref="D512:D513"/>
    <mergeCell ref="C508:C509"/>
    <mergeCell ref="D508:D509"/>
    <mergeCell ref="B510:B511"/>
    <mergeCell ref="C510:C511"/>
    <mergeCell ref="D510:D511"/>
    <mergeCell ref="E510:E511"/>
    <mergeCell ref="B512:B513"/>
    <mergeCell ref="E512:E513"/>
    <mergeCell ref="A514:E514"/>
    <mergeCell ref="A515:D515"/>
    <mergeCell ref="A516:D516"/>
    <mergeCell ref="C517:C518"/>
    <mergeCell ref="D517:D518"/>
    <mergeCell ref="E517:E518"/>
    <mergeCell ref="D529:D530"/>
    <mergeCell ref="E529:E530"/>
    <mergeCell ref="B523:B524"/>
    <mergeCell ref="C523:C524"/>
    <mergeCell ref="D523:D524"/>
    <mergeCell ref="E523:E524"/>
    <mergeCell ref="C525:C526"/>
    <mergeCell ref="D525:D526"/>
    <mergeCell ref="E525:E526"/>
    <mergeCell ref="B525:B526"/>
    <mergeCell ref="B527:B528"/>
    <mergeCell ref="C527:C528"/>
    <mergeCell ref="D527:D528"/>
    <mergeCell ref="E527:E528"/>
    <mergeCell ref="B529:B530"/>
    <mergeCell ref="C529:C530"/>
    <mergeCell ref="E545:E546"/>
    <mergeCell ref="B539:B540"/>
    <mergeCell ref="C539:C540"/>
    <mergeCell ref="D539:D540"/>
    <mergeCell ref="E539:E540"/>
    <mergeCell ref="C541:C542"/>
    <mergeCell ref="D541:D542"/>
    <mergeCell ref="E541:E542"/>
    <mergeCell ref="B541:B542"/>
    <mergeCell ref="B543:B544"/>
    <mergeCell ref="C543:C544"/>
    <mergeCell ref="D543:D544"/>
    <mergeCell ref="E543:E544"/>
    <mergeCell ref="C545:C546"/>
    <mergeCell ref="A547:D547"/>
    <mergeCell ref="D550:D551"/>
    <mergeCell ref="E550:E551"/>
    <mergeCell ref="B545:B546"/>
    <mergeCell ref="B548:B549"/>
    <mergeCell ref="C548:C549"/>
    <mergeCell ref="D548:D549"/>
    <mergeCell ref="E548:E549"/>
    <mergeCell ref="B550:B551"/>
    <mergeCell ref="C550:C551"/>
    <mergeCell ref="D582:D583"/>
    <mergeCell ref="E582:E583"/>
    <mergeCell ref="B584:B585"/>
    <mergeCell ref="C584:C585"/>
    <mergeCell ref="B573:B574"/>
    <mergeCell ref="C573:C574"/>
    <mergeCell ref="D573:D574"/>
    <mergeCell ref="E573:E574"/>
    <mergeCell ref="C575:C576"/>
    <mergeCell ref="D575:D576"/>
    <mergeCell ref="E575:E576"/>
    <mergeCell ref="B561:B562"/>
    <mergeCell ref="C561:C562"/>
    <mergeCell ref="D561:D562"/>
    <mergeCell ref="E561:E562"/>
    <mergeCell ref="B531:B532"/>
    <mergeCell ref="C531:C532"/>
    <mergeCell ref="D531:D532"/>
    <mergeCell ref="E531:E532"/>
    <mergeCell ref="C533:C534"/>
    <mergeCell ref="D533:D534"/>
    <mergeCell ref="E533:E534"/>
    <mergeCell ref="D537:D538"/>
    <mergeCell ref="E537:E538"/>
    <mergeCell ref="B533:B534"/>
    <mergeCell ref="B535:B536"/>
    <mergeCell ref="C535:C536"/>
    <mergeCell ref="D535:D536"/>
    <mergeCell ref="E535:E536"/>
    <mergeCell ref="B537:B538"/>
    <mergeCell ref="C537:C538"/>
    <mergeCell ref="D545:D546"/>
    <mergeCell ref="B613:B614"/>
    <mergeCell ref="C613:C614"/>
    <mergeCell ref="B601:B602"/>
    <mergeCell ref="B603:B604"/>
    <mergeCell ref="C603:C604"/>
    <mergeCell ref="D603:D604"/>
    <mergeCell ref="E603:E604"/>
    <mergeCell ref="B605:B606"/>
    <mergeCell ref="C605:C606"/>
    <mergeCell ref="B607:B608"/>
    <mergeCell ref="C607:C608"/>
    <mergeCell ref="D607:D608"/>
    <mergeCell ref="E607:E608"/>
    <mergeCell ref="C609:C610"/>
    <mergeCell ref="D609:D610"/>
    <mergeCell ref="E609:E610"/>
    <mergeCell ref="D558:D559"/>
    <mergeCell ref="E558:E559"/>
    <mergeCell ref="D579:D580"/>
    <mergeCell ref="E579:E580"/>
    <mergeCell ref="B575:B576"/>
    <mergeCell ref="B577:B578"/>
    <mergeCell ref="C577:C578"/>
    <mergeCell ref="D577:D578"/>
    <mergeCell ref="E577:E578"/>
    <mergeCell ref="C579:C580"/>
    <mergeCell ref="A581:D581"/>
    <mergeCell ref="D584:D585"/>
    <mergeCell ref="E584:E585"/>
    <mergeCell ref="B579:B580"/>
    <mergeCell ref="B582:B583"/>
    <mergeCell ref="C582:C583"/>
    <mergeCell ref="B586:B587"/>
    <mergeCell ref="C586:C587"/>
    <mergeCell ref="D586:D587"/>
    <mergeCell ref="E586:E587"/>
    <mergeCell ref="C588:C589"/>
    <mergeCell ref="D588:D589"/>
    <mergeCell ref="E588:E589"/>
    <mergeCell ref="B588:B589"/>
    <mergeCell ref="B590:B591"/>
    <mergeCell ref="C590:C591"/>
    <mergeCell ref="D590:D591"/>
    <mergeCell ref="E590:E591"/>
    <mergeCell ref="C592:C593"/>
    <mergeCell ref="A594:D594"/>
    <mergeCell ref="D597:D598"/>
    <mergeCell ref="E597:E598"/>
    <mergeCell ref="B592:B593"/>
    <mergeCell ref="B595:B596"/>
    <mergeCell ref="C595:C596"/>
    <mergeCell ref="D595:D596"/>
    <mergeCell ref="E595:E596"/>
    <mergeCell ref="B597:B598"/>
    <mergeCell ref="C597:C598"/>
    <mergeCell ref="B599:B600"/>
    <mergeCell ref="C599:C600"/>
    <mergeCell ref="D599:D600"/>
    <mergeCell ref="E599:E600"/>
    <mergeCell ref="C601:C602"/>
    <mergeCell ref="D601:D602"/>
    <mergeCell ref="E601:E602"/>
    <mergeCell ref="D605:D606"/>
    <mergeCell ref="E605:E606"/>
    <mergeCell ref="D621:D622"/>
    <mergeCell ref="E621:E622"/>
    <mergeCell ref="B615:B616"/>
    <mergeCell ref="C615:C616"/>
    <mergeCell ref="D615:D616"/>
    <mergeCell ref="E615:E616"/>
    <mergeCell ref="C617:C618"/>
    <mergeCell ref="D617:D618"/>
    <mergeCell ref="E617:E618"/>
    <mergeCell ref="B617:B618"/>
    <mergeCell ref="B619:B620"/>
    <mergeCell ref="C619:C620"/>
    <mergeCell ref="D619:D620"/>
    <mergeCell ref="E619:E620"/>
    <mergeCell ref="B621:B622"/>
    <mergeCell ref="C621:C622"/>
    <mergeCell ref="D613:D614"/>
    <mergeCell ref="E613:E614"/>
    <mergeCell ref="B609:B610"/>
    <mergeCell ref="B611:B612"/>
    <mergeCell ref="C611:C612"/>
    <mergeCell ref="D611:D612"/>
    <mergeCell ref="E611:E612"/>
    <mergeCell ref="B623:B624"/>
    <mergeCell ref="C623:C624"/>
    <mergeCell ref="D623:D624"/>
    <mergeCell ref="E623:E624"/>
    <mergeCell ref="C625:C626"/>
    <mergeCell ref="D625:D626"/>
    <mergeCell ref="E625:E626"/>
    <mergeCell ref="D629:D630"/>
    <mergeCell ref="E629:E630"/>
    <mergeCell ref="B625:B626"/>
    <mergeCell ref="B627:B628"/>
    <mergeCell ref="C627:C628"/>
    <mergeCell ref="D627:D628"/>
    <mergeCell ref="E627:E628"/>
    <mergeCell ref="B629:B630"/>
    <mergeCell ref="C629:C630"/>
    <mergeCell ref="D637:D638"/>
    <mergeCell ref="E637:E638"/>
    <mergeCell ref="B639:B640"/>
    <mergeCell ref="C639:C640"/>
    <mergeCell ref="D639:D640"/>
    <mergeCell ref="E639:E640"/>
    <mergeCell ref="B631:B632"/>
    <mergeCell ref="C631:C632"/>
    <mergeCell ref="D631:D632"/>
    <mergeCell ref="E631:E632"/>
    <mergeCell ref="C633:C634"/>
    <mergeCell ref="D633:D634"/>
    <mergeCell ref="E633:E634"/>
    <mergeCell ref="B633:B634"/>
    <mergeCell ref="B635:B636"/>
    <mergeCell ref="C635:C636"/>
    <mergeCell ref="D635:D636"/>
    <mergeCell ref="E635:E636"/>
    <mergeCell ref="B637:B638"/>
    <mergeCell ref="C637:C638"/>
    <mergeCell ref="A641:E641"/>
    <mergeCell ref="A642:D642"/>
    <mergeCell ref="A643:D643"/>
    <mergeCell ref="B644:B645"/>
    <mergeCell ref="C644:C645"/>
    <mergeCell ref="D644:D645"/>
    <mergeCell ref="E644:E645"/>
    <mergeCell ref="B646:B647"/>
    <mergeCell ref="C646:C647"/>
    <mergeCell ref="D646:D647"/>
    <mergeCell ref="E646:E647"/>
    <mergeCell ref="C648:C649"/>
    <mergeCell ref="D648:D649"/>
    <mergeCell ref="E648:E649"/>
    <mergeCell ref="D652:D653"/>
    <mergeCell ref="E652:E653"/>
    <mergeCell ref="B648:B649"/>
    <mergeCell ref="B650:B651"/>
    <mergeCell ref="C650:C651"/>
    <mergeCell ref="D650:D651"/>
    <mergeCell ref="E650:E651"/>
    <mergeCell ref="B652:B653"/>
    <mergeCell ref="C652:C653"/>
    <mergeCell ref="D660:D661"/>
    <mergeCell ref="E660:E661"/>
    <mergeCell ref="B654:B655"/>
    <mergeCell ref="C654:C655"/>
    <mergeCell ref="D654:D655"/>
    <mergeCell ref="E654:E655"/>
    <mergeCell ref="C656:C657"/>
    <mergeCell ref="D656:D657"/>
    <mergeCell ref="E656:E657"/>
    <mergeCell ref="B656:B657"/>
    <mergeCell ref="B658:B659"/>
    <mergeCell ref="C658:C659"/>
    <mergeCell ref="D658:D659"/>
    <mergeCell ref="E658:E659"/>
    <mergeCell ref="B660:B661"/>
    <mergeCell ref="C660:C661"/>
    <mergeCell ref="D664:D665"/>
    <mergeCell ref="E664:E665"/>
    <mergeCell ref="B662:B663"/>
    <mergeCell ref="C662:C663"/>
    <mergeCell ref="D662:D663"/>
    <mergeCell ref="E662:E663"/>
    <mergeCell ref="F662:F663"/>
    <mergeCell ref="C664:C665"/>
    <mergeCell ref="F664:F665"/>
    <mergeCell ref="B664:B665"/>
    <mergeCell ref="B666:B667"/>
    <mergeCell ref="C666:C667"/>
    <mergeCell ref="D666:D667"/>
    <mergeCell ref="E666:E667"/>
    <mergeCell ref="F666:F667"/>
    <mergeCell ref="B668:B669"/>
    <mergeCell ref="E668:E669"/>
    <mergeCell ref="C672:C673"/>
    <mergeCell ref="D672:D673"/>
    <mergeCell ref="D676:D677"/>
    <mergeCell ref="E676:E677"/>
    <mergeCell ref="D693:D694"/>
    <mergeCell ref="E693:E694"/>
    <mergeCell ref="B691:B692"/>
    <mergeCell ref="C691:C692"/>
    <mergeCell ref="D691:D692"/>
    <mergeCell ref="E691:E692"/>
    <mergeCell ref="F691:F692"/>
    <mergeCell ref="C693:C694"/>
    <mergeCell ref="F693:F694"/>
    <mergeCell ref="C668:C669"/>
    <mergeCell ref="D668:D669"/>
    <mergeCell ref="B670:B671"/>
    <mergeCell ref="C670:C671"/>
    <mergeCell ref="D670:D671"/>
    <mergeCell ref="E670:E671"/>
    <mergeCell ref="E672:E673"/>
    <mergeCell ref="B672:B673"/>
    <mergeCell ref="C695:C696"/>
    <mergeCell ref="D695:D696"/>
    <mergeCell ref="E695:E696"/>
    <mergeCell ref="B697:B698"/>
    <mergeCell ref="C697:C698"/>
    <mergeCell ref="B683:B684"/>
    <mergeCell ref="C683:C684"/>
    <mergeCell ref="D683:D684"/>
    <mergeCell ref="E683:E684"/>
    <mergeCell ref="F683:F684"/>
    <mergeCell ref="C685:C686"/>
    <mergeCell ref="F685:F686"/>
    <mergeCell ref="B685:B686"/>
    <mergeCell ref="B687:B688"/>
    <mergeCell ref="C687:C688"/>
    <mergeCell ref="D687:D688"/>
    <mergeCell ref="E687:E688"/>
    <mergeCell ref="B689:B690"/>
    <mergeCell ref="C689:C690"/>
    <mergeCell ref="D689:D690"/>
    <mergeCell ref="E689:E690"/>
    <mergeCell ref="F689:F690"/>
    <mergeCell ref="D709:D710"/>
    <mergeCell ref="E709:E710"/>
    <mergeCell ref="D713:D714"/>
    <mergeCell ref="E713:E714"/>
    <mergeCell ref="B709:B710"/>
    <mergeCell ref="B711:B712"/>
    <mergeCell ref="C711:C712"/>
    <mergeCell ref="D711:D712"/>
    <mergeCell ref="E711:E712"/>
    <mergeCell ref="B713:B714"/>
    <mergeCell ref="C713:C714"/>
    <mergeCell ref="B674:B675"/>
    <mergeCell ref="C674:C675"/>
    <mergeCell ref="D674:D675"/>
    <mergeCell ref="E674:E675"/>
    <mergeCell ref="C676:C677"/>
    <mergeCell ref="A678:D678"/>
    <mergeCell ref="D681:D682"/>
    <mergeCell ref="E681:E682"/>
    <mergeCell ref="B676:B677"/>
    <mergeCell ref="B679:B680"/>
    <mergeCell ref="C679:C680"/>
    <mergeCell ref="D679:D680"/>
    <mergeCell ref="E679:E680"/>
    <mergeCell ref="B681:B682"/>
    <mergeCell ref="C681:C682"/>
    <mergeCell ref="D685:D686"/>
    <mergeCell ref="E685:E686"/>
    <mergeCell ref="D697:D698"/>
    <mergeCell ref="E697:E698"/>
    <mergeCell ref="B693:B694"/>
    <mergeCell ref="B695:B696"/>
    <mergeCell ref="B730:B731"/>
    <mergeCell ref="E730:E731"/>
    <mergeCell ref="C734:C735"/>
    <mergeCell ref="D734:D735"/>
    <mergeCell ref="C730:C731"/>
    <mergeCell ref="D730:D731"/>
    <mergeCell ref="B732:B733"/>
    <mergeCell ref="C732:C733"/>
    <mergeCell ref="D732:D733"/>
    <mergeCell ref="E732:E733"/>
    <mergeCell ref="E734:E735"/>
    <mergeCell ref="D705:D706"/>
    <mergeCell ref="E705:E706"/>
    <mergeCell ref="B715:B716"/>
    <mergeCell ref="C715:C716"/>
    <mergeCell ref="D715:D716"/>
    <mergeCell ref="E715:E716"/>
    <mergeCell ref="C717:C718"/>
    <mergeCell ref="D717:D718"/>
    <mergeCell ref="E717:E718"/>
    <mergeCell ref="B717:B718"/>
    <mergeCell ref="B719:B720"/>
    <mergeCell ref="C719:C720"/>
    <mergeCell ref="D719:D720"/>
    <mergeCell ref="E719:E720"/>
    <mergeCell ref="B721:B722"/>
    <mergeCell ref="C721:C722"/>
    <mergeCell ref="B723:B724"/>
    <mergeCell ref="C723:C724"/>
    <mergeCell ref="D723:D724"/>
    <mergeCell ref="E723:E724"/>
    <mergeCell ref="C709:C710"/>
    <mergeCell ref="B699:B700"/>
    <mergeCell ref="C699:C700"/>
    <mergeCell ref="D699:D700"/>
    <mergeCell ref="E699:E700"/>
    <mergeCell ref="C701:C702"/>
    <mergeCell ref="D701:D702"/>
    <mergeCell ref="E701:E702"/>
    <mergeCell ref="B701:B702"/>
    <mergeCell ref="B703:B704"/>
    <mergeCell ref="C703:C704"/>
    <mergeCell ref="D703:D704"/>
    <mergeCell ref="E703:E704"/>
    <mergeCell ref="B705:B706"/>
    <mergeCell ref="C705:C706"/>
    <mergeCell ref="B707:B708"/>
    <mergeCell ref="C707:C708"/>
    <mergeCell ref="D707:D708"/>
    <mergeCell ref="E707:E708"/>
    <mergeCell ref="D721:D722"/>
    <mergeCell ref="E721:E722"/>
    <mergeCell ref="B742:B743"/>
    <mergeCell ref="B744:B745"/>
    <mergeCell ref="C744:C745"/>
    <mergeCell ref="D744:D745"/>
    <mergeCell ref="E744:E745"/>
    <mergeCell ref="B740:B741"/>
    <mergeCell ref="C740:C741"/>
    <mergeCell ref="D740:D741"/>
    <mergeCell ref="E740:E741"/>
    <mergeCell ref="C742:C743"/>
    <mergeCell ref="D742:D743"/>
    <mergeCell ref="E742:E743"/>
    <mergeCell ref="D738:D739"/>
    <mergeCell ref="E738:E739"/>
    <mergeCell ref="B734:B735"/>
    <mergeCell ref="B736:B737"/>
    <mergeCell ref="C736:C737"/>
    <mergeCell ref="D736:D737"/>
    <mergeCell ref="E736:E737"/>
    <mergeCell ref="B738:B739"/>
    <mergeCell ref="C738:C739"/>
    <mergeCell ref="B725:B726"/>
    <mergeCell ref="C725:C726"/>
    <mergeCell ref="E725:E726"/>
    <mergeCell ref="D725:D726"/>
    <mergeCell ref="A727:D727"/>
    <mergeCell ref="B728:B729"/>
    <mergeCell ref="C728:C729"/>
    <mergeCell ref="D728:D729"/>
    <mergeCell ref="E728:E729"/>
    <mergeCell ref="A746:E746"/>
    <mergeCell ref="A747:D747"/>
    <mergeCell ref="A748:D748"/>
    <mergeCell ref="B749:B750"/>
    <mergeCell ref="C749:C750"/>
    <mergeCell ref="D749:D750"/>
    <mergeCell ref="E749:E750"/>
    <mergeCell ref="B751:B752"/>
    <mergeCell ref="C751:C752"/>
    <mergeCell ref="D751:D752"/>
    <mergeCell ref="E751:E752"/>
    <mergeCell ref="C753:C754"/>
    <mergeCell ref="D753:D754"/>
    <mergeCell ref="E753:E754"/>
    <mergeCell ref="D757:D758"/>
    <mergeCell ref="E757:E758"/>
    <mergeCell ref="B753:B754"/>
    <mergeCell ref="B755:B756"/>
    <mergeCell ref="C755:C756"/>
    <mergeCell ref="D755:D756"/>
    <mergeCell ref="E755:E756"/>
    <mergeCell ref="B757:B758"/>
    <mergeCell ref="C757:C758"/>
    <mergeCell ref="D765:D766"/>
    <mergeCell ref="E765:E766"/>
    <mergeCell ref="B759:B760"/>
    <mergeCell ref="C759:C760"/>
    <mergeCell ref="D759:D760"/>
    <mergeCell ref="E759:E760"/>
    <mergeCell ref="C761:C762"/>
    <mergeCell ref="D761:D762"/>
    <mergeCell ref="E761:E762"/>
    <mergeCell ref="B761:B762"/>
    <mergeCell ref="B763:B764"/>
    <mergeCell ref="C763:C764"/>
    <mergeCell ref="D763:D764"/>
    <mergeCell ref="E763:E764"/>
    <mergeCell ref="B765:B766"/>
    <mergeCell ref="C765:C766"/>
    <mergeCell ref="D769:D770"/>
    <mergeCell ref="E769:E770"/>
    <mergeCell ref="B767:B768"/>
    <mergeCell ref="C767:C768"/>
    <mergeCell ref="D767:D768"/>
    <mergeCell ref="E767:E768"/>
    <mergeCell ref="F767:F768"/>
    <mergeCell ref="C769:C770"/>
    <mergeCell ref="F769:F770"/>
    <mergeCell ref="B769:B770"/>
    <mergeCell ref="B771:B772"/>
    <mergeCell ref="C771:C772"/>
    <mergeCell ref="D771:D772"/>
    <mergeCell ref="E771:E772"/>
    <mergeCell ref="F771:F772"/>
    <mergeCell ref="B773:B774"/>
    <mergeCell ref="E773:E774"/>
    <mergeCell ref="C777:C778"/>
    <mergeCell ref="D777:D778"/>
    <mergeCell ref="D781:D782"/>
    <mergeCell ref="E781:E782"/>
    <mergeCell ref="B788:B789"/>
    <mergeCell ref="C788:C789"/>
    <mergeCell ref="D788:D789"/>
    <mergeCell ref="E788:E789"/>
    <mergeCell ref="F788:F789"/>
    <mergeCell ref="C790:C791"/>
    <mergeCell ref="F790:F791"/>
    <mergeCell ref="B790:B791"/>
    <mergeCell ref="B792:B793"/>
    <mergeCell ref="C792:C793"/>
    <mergeCell ref="D792:D793"/>
    <mergeCell ref="E792:E793"/>
    <mergeCell ref="B794:B795"/>
    <mergeCell ref="C794:C795"/>
    <mergeCell ref="D798:D799"/>
    <mergeCell ref="E798:E799"/>
    <mergeCell ref="B796:B797"/>
    <mergeCell ref="C796:C797"/>
    <mergeCell ref="D796:D797"/>
    <mergeCell ref="E796:E797"/>
    <mergeCell ref="F796:F797"/>
    <mergeCell ref="C798:C799"/>
    <mergeCell ref="F798:F799"/>
    <mergeCell ref="D790:D791"/>
    <mergeCell ref="E790:E791"/>
    <mergeCell ref="D794:D795"/>
    <mergeCell ref="E794:E795"/>
    <mergeCell ref="F794:F795"/>
    <mergeCell ref="D802:D803"/>
    <mergeCell ref="E802:E803"/>
    <mergeCell ref="B798:B799"/>
    <mergeCell ref="B800:B801"/>
    <mergeCell ref="C800:C801"/>
    <mergeCell ref="D800:D801"/>
    <mergeCell ref="E800:E801"/>
    <mergeCell ref="B802:B803"/>
    <mergeCell ref="C802:C803"/>
    <mergeCell ref="C773:C774"/>
    <mergeCell ref="D773:D774"/>
    <mergeCell ref="B775:B776"/>
    <mergeCell ref="C775:C776"/>
    <mergeCell ref="D775:D776"/>
    <mergeCell ref="E775:E776"/>
    <mergeCell ref="E777:E778"/>
    <mergeCell ref="B777:B778"/>
    <mergeCell ref="B779:B780"/>
    <mergeCell ref="C779:C780"/>
    <mergeCell ref="D779:D780"/>
    <mergeCell ref="E779:E780"/>
    <mergeCell ref="C781:C782"/>
    <mergeCell ref="A783:D783"/>
    <mergeCell ref="D786:D787"/>
    <mergeCell ref="E786:E787"/>
    <mergeCell ref="B781:B782"/>
    <mergeCell ref="B784:B785"/>
    <mergeCell ref="C784:C785"/>
    <mergeCell ref="D784:D785"/>
    <mergeCell ref="E784:E785"/>
    <mergeCell ref="B786:B787"/>
    <mergeCell ref="C786:C787"/>
    <mergeCell ref="D810:D811"/>
    <mergeCell ref="E810:E811"/>
    <mergeCell ref="B828:B829"/>
    <mergeCell ref="C828:C829"/>
    <mergeCell ref="D828:D829"/>
    <mergeCell ref="E828:E829"/>
    <mergeCell ref="B830:B831"/>
    <mergeCell ref="C830:C831"/>
    <mergeCell ref="E830:E831"/>
    <mergeCell ref="D830:D831"/>
    <mergeCell ref="A832:D832"/>
    <mergeCell ref="B833:B834"/>
    <mergeCell ref="C833:C834"/>
    <mergeCell ref="D833:D834"/>
    <mergeCell ref="E833:E834"/>
    <mergeCell ref="B835:B836"/>
    <mergeCell ref="E835:E836"/>
    <mergeCell ref="C814:C815"/>
    <mergeCell ref="D814:D815"/>
    <mergeCell ref="E814:E815"/>
    <mergeCell ref="D818:D819"/>
    <mergeCell ref="E818:E819"/>
    <mergeCell ref="B814:B815"/>
    <mergeCell ref="B816:B817"/>
    <mergeCell ref="C816:C817"/>
    <mergeCell ref="D816:D817"/>
    <mergeCell ref="E816:E817"/>
    <mergeCell ref="B818:B819"/>
    <mergeCell ref="C818:C819"/>
    <mergeCell ref="C835:C836"/>
    <mergeCell ref="D835:D836"/>
    <mergeCell ref="B837:B838"/>
    <mergeCell ref="C837:C838"/>
    <mergeCell ref="D837:D838"/>
    <mergeCell ref="E837:E838"/>
    <mergeCell ref="E839:E840"/>
    <mergeCell ref="B820:B821"/>
    <mergeCell ref="C820:C821"/>
    <mergeCell ref="D820:D821"/>
    <mergeCell ref="E820:E821"/>
    <mergeCell ref="C822:C823"/>
    <mergeCell ref="D822:D823"/>
    <mergeCell ref="E822:E823"/>
    <mergeCell ref="B822:B823"/>
    <mergeCell ref="B824:B825"/>
    <mergeCell ref="C824:C825"/>
    <mergeCell ref="D824:D825"/>
    <mergeCell ref="E824:E825"/>
    <mergeCell ref="B826:B827"/>
    <mergeCell ref="C826:C827"/>
    <mergeCell ref="D826:D827"/>
    <mergeCell ref="E826:E827"/>
    <mergeCell ref="B859:B860"/>
    <mergeCell ref="B861:B862"/>
    <mergeCell ref="C861:C862"/>
    <mergeCell ref="D861:D862"/>
    <mergeCell ref="E861:E862"/>
    <mergeCell ref="C859:C860"/>
    <mergeCell ref="D859:D860"/>
    <mergeCell ref="B857:B858"/>
    <mergeCell ref="C857:C858"/>
    <mergeCell ref="D857:D858"/>
    <mergeCell ref="E857:E858"/>
    <mergeCell ref="E859:E860"/>
    <mergeCell ref="B804:B805"/>
    <mergeCell ref="C804:C805"/>
    <mergeCell ref="D804:D805"/>
    <mergeCell ref="E804:E805"/>
    <mergeCell ref="C806:C807"/>
    <mergeCell ref="D806:D807"/>
    <mergeCell ref="E806:E807"/>
    <mergeCell ref="B806:B807"/>
    <mergeCell ref="B808:B809"/>
    <mergeCell ref="C808:C809"/>
    <mergeCell ref="D808:D809"/>
    <mergeCell ref="E808:E809"/>
    <mergeCell ref="B810:B811"/>
    <mergeCell ref="C810:C811"/>
    <mergeCell ref="B812:B813"/>
    <mergeCell ref="C812:C813"/>
    <mergeCell ref="D812:D813"/>
    <mergeCell ref="E812:E813"/>
    <mergeCell ref="C839:C840"/>
    <mergeCell ref="D839:D840"/>
    <mergeCell ref="B863:B864"/>
    <mergeCell ref="C863:C864"/>
    <mergeCell ref="F869:F870"/>
    <mergeCell ref="F871:F872"/>
    <mergeCell ref="F873:F874"/>
    <mergeCell ref="B865:B866"/>
    <mergeCell ref="C865:C866"/>
    <mergeCell ref="D865:D866"/>
    <mergeCell ref="E865:E866"/>
    <mergeCell ref="C867:C868"/>
    <mergeCell ref="D867:D868"/>
    <mergeCell ref="E867:E868"/>
    <mergeCell ref="D871:D872"/>
    <mergeCell ref="E871:E872"/>
    <mergeCell ref="B867:B868"/>
    <mergeCell ref="B869:B870"/>
    <mergeCell ref="C869:C870"/>
    <mergeCell ref="D869:D870"/>
    <mergeCell ref="E869:E870"/>
    <mergeCell ref="B871:B872"/>
    <mergeCell ref="C871:C872"/>
    <mergeCell ref="D863:D864"/>
    <mergeCell ref="E863:E864"/>
    <mergeCell ref="D843:D844"/>
    <mergeCell ref="E843:E844"/>
    <mergeCell ref="B839:B840"/>
    <mergeCell ref="B841:B842"/>
    <mergeCell ref="C841:C842"/>
    <mergeCell ref="D841:D842"/>
    <mergeCell ref="E841:E842"/>
    <mergeCell ref="B843:B844"/>
    <mergeCell ref="C843:C844"/>
    <mergeCell ref="A851:E851"/>
    <mergeCell ref="A852:D852"/>
    <mergeCell ref="B853:B854"/>
    <mergeCell ref="C853:C854"/>
    <mergeCell ref="D853:D854"/>
    <mergeCell ref="E853:E854"/>
    <mergeCell ref="B855:B856"/>
    <mergeCell ref="E855:E856"/>
    <mergeCell ref="C855:C856"/>
    <mergeCell ref="D855:D856"/>
    <mergeCell ref="B847:B848"/>
    <mergeCell ref="B849:B850"/>
    <mergeCell ref="C849:C850"/>
    <mergeCell ref="D849:D850"/>
    <mergeCell ref="E849:E850"/>
    <mergeCell ref="B845:B846"/>
    <mergeCell ref="C845:C846"/>
    <mergeCell ref="D845:D846"/>
    <mergeCell ref="E845:E846"/>
    <mergeCell ref="C847:C848"/>
    <mergeCell ref="D847:D848"/>
    <mergeCell ref="E847:E848"/>
    <mergeCell ref="D879:D880"/>
    <mergeCell ref="E879:E880"/>
    <mergeCell ref="B873:B874"/>
    <mergeCell ref="C873:C874"/>
    <mergeCell ref="D873:D874"/>
    <mergeCell ref="E873:E874"/>
    <mergeCell ref="C875:C876"/>
    <mergeCell ref="D875:D876"/>
    <mergeCell ref="E875:E876"/>
    <mergeCell ref="B875:B876"/>
    <mergeCell ref="B877:B878"/>
    <mergeCell ref="C877:C878"/>
    <mergeCell ref="D877:D878"/>
    <mergeCell ref="E877:E878"/>
    <mergeCell ref="B879:B880"/>
    <mergeCell ref="C879:C880"/>
    <mergeCell ref="B881:B882"/>
    <mergeCell ref="C881:C882"/>
    <mergeCell ref="D881:D882"/>
    <mergeCell ref="E881:E882"/>
    <mergeCell ref="C883:C884"/>
    <mergeCell ref="D883:D884"/>
    <mergeCell ref="E883:E884"/>
    <mergeCell ref="D887:D888"/>
    <mergeCell ref="E887:E888"/>
    <mergeCell ref="B883:B884"/>
    <mergeCell ref="B885:B886"/>
    <mergeCell ref="C885:C886"/>
    <mergeCell ref="D885:D886"/>
    <mergeCell ref="E885:E886"/>
    <mergeCell ref="B887:B888"/>
    <mergeCell ref="C887:C888"/>
    <mergeCell ref="B889:B890"/>
    <mergeCell ref="C889:C890"/>
    <mergeCell ref="D889:D890"/>
    <mergeCell ref="E889:E890"/>
    <mergeCell ref="C891:C892"/>
    <mergeCell ref="D891:D892"/>
    <mergeCell ref="E891:E892"/>
    <mergeCell ref="B891:B892"/>
    <mergeCell ref="B893:B894"/>
    <mergeCell ref="C893:C894"/>
    <mergeCell ref="D893:D894"/>
    <mergeCell ref="E893:E894"/>
    <mergeCell ref="F893:F894"/>
    <mergeCell ref="B895:B896"/>
    <mergeCell ref="E895:E896"/>
    <mergeCell ref="D921:D922"/>
    <mergeCell ref="E921:E922"/>
    <mergeCell ref="B916:B917"/>
    <mergeCell ref="B919:B920"/>
    <mergeCell ref="C919:C920"/>
    <mergeCell ref="D919:D920"/>
    <mergeCell ref="E919:E920"/>
    <mergeCell ref="B921:B922"/>
    <mergeCell ref="C921:C922"/>
    <mergeCell ref="C992:C993"/>
    <mergeCell ref="D992:D993"/>
    <mergeCell ref="F990:F991"/>
    <mergeCell ref="B992:B993"/>
    <mergeCell ref="E992:E993"/>
    <mergeCell ref="D900:D901"/>
    <mergeCell ref="E900:E901"/>
    <mergeCell ref="C895:C896"/>
    <mergeCell ref="D895:D896"/>
    <mergeCell ref="A897:E897"/>
    <mergeCell ref="A898:D898"/>
    <mergeCell ref="A899:D899"/>
    <mergeCell ref="B900:B901"/>
    <mergeCell ref="C900:C901"/>
    <mergeCell ref="B902:B903"/>
    <mergeCell ref="C902:C903"/>
    <mergeCell ref="B994:B995"/>
    <mergeCell ref="C994:C995"/>
    <mergeCell ref="D994:D995"/>
    <mergeCell ref="E994:E995"/>
    <mergeCell ref="E996:E997"/>
    <mergeCell ref="B996:B997"/>
    <mergeCell ref="B998:B999"/>
    <mergeCell ref="C998:C999"/>
    <mergeCell ref="D998:D999"/>
    <mergeCell ref="E998:E999"/>
    <mergeCell ref="B1000:B1001"/>
    <mergeCell ref="C1000:C1001"/>
    <mergeCell ref="B1002:B1003"/>
    <mergeCell ref="C1002:C1003"/>
    <mergeCell ref="D1002:D1003"/>
    <mergeCell ref="E1002:E1003"/>
    <mergeCell ref="C1004:C1005"/>
    <mergeCell ref="D1004:D1005"/>
    <mergeCell ref="E1004:E1005"/>
    <mergeCell ref="B1004:B1005"/>
    <mergeCell ref="C996:C997"/>
    <mergeCell ref="D996:D997"/>
    <mergeCell ref="D1000:D1001"/>
    <mergeCell ref="E1000:E1001"/>
    <mergeCell ref="B1006:B1007"/>
    <mergeCell ref="C1006:C1007"/>
    <mergeCell ref="D1006:D1007"/>
    <mergeCell ref="E1006:E1007"/>
    <mergeCell ref="B1008:B1009"/>
    <mergeCell ref="C1008:C1009"/>
    <mergeCell ref="B975:B976"/>
    <mergeCell ref="C975:C976"/>
    <mergeCell ref="D975:D976"/>
    <mergeCell ref="E975:E976"/>
    <mergeCell ref="C977:C978"/>
    <mergeCell ref="D977:D978"/>
    <mergeCell ref="E977:E978"/>
    <mergeCell ref="B977:B978"/>
    <mergeCell ref="B979:B980"/>
    <mergeCell ref="C979:C980"/>
    <mergeCell ref="D979:D980"/>
    <mergeCell ref="E979:E980"/>
    <mergeCell ref="B981:B982"/>
    <mergeCell ref="C981:C982"/>
    <mergeCell ref="A983:E983"/>
    <mergeCell ref="B984:E984"/>
    <mergeCell ref="B985:C985"/>
    <mergeCell ref="D985:E985"/>
    <mergeCell ref="B986:E986"/>
    <mergeCell ref="A987:F987"/>
    <mergeCell ref="A988:F988"/>
    <mergeCell ref="A989:D989"/>
    <mergeCell ref="B990:B991"/>
    <mergeCell ref="C990:C991"/>
    <mergeCell ref="D990:D991"/>
    <mergeCell ref="E990:E991"/>
    <mergeCell ref="A1014:E1014"/>
    <mergeCell ref="A1015:D1015"/>
    <mergeCell ref="C1016:D1016"/>
    <mergeCell ref="D1008:D1009"/>
    <mergeCell ref="E1008:E1009"/>
    <mergeCell ref="A1010:E1010"/>
    <mergeCell ref="B1011:E1011"/>
    <mergeCell ref="B1012:C1012"/>
    <mergeCell ref="D1012:E1012"/>
    <mergeCell ref="B1013:E1013"/>
    <mergeCell ref="B910:B911"/>
    <mergeCell ref="C910:C911"/>
    <mergeCell ref="D910:D911"/>
    <mergeCell ref="E910:E911"/>
    <mergeCell ref="C912:C913"/>
    <mergeCell ref="D912:D913"/>
    <mergeCell ref="E912:E913"/>
    <mergeCell ref="B912:B913"/>
    <mergeCell ref="B914:B915"/>
    <mergeCell ref="C914:C915"/>
    <mergeCell ref="D914:D915"/>
    <mergeCell ref="E914:E915"/>
    <mergeCell ref="C916:C917"/>
    <mergeCell ref="A918:D918"/>
    <mergeCell ref="D945:D946"/>
    <mergeCell ref="E945:E946"/>
    <mergeCell ref="B943:B944"/>
    <mergeCell ref="C943:C944"/>
    <mergeCell ref="D943:D944"/>
    <mergeCell ref="E943:E944"/>
    <mergeCell ref="D933:D934"/>
    <mergeCell ref="E933:E934"/>
    <mergeCell ref="D902:D903"/>
    <mergeCell ref="E902:E903"/>
    <mergeCell ref="C904:C905"/>
    <mergeCell ref="D904:D905"/>
    <mergeCell ref="E904:E905"/>
    <mergeCell ref="D908:D909"/>
    <mergeCell ref="E908:E909"/>
    <mergeCell ref="B904:B905"/>
    <mergeCell ref="B906:B907"/>
    <mergeCell ref="C906:C907"/>
    <mergeCell ref="D906:D907"/>
    <mergeCell ref="E906:E907"/>
    <mergeCell ref="B908:B909"/>
    <mergeCell ref="C908:C909"/>
    <mergeCell ref="D916:D917"/>
    <mergeCell ref="E916:E917"/>
    <mergeCell ref="D929:D930"/>
    <mergeCell ref="E929:E930"/>
    <mergeCell ref="B923:B924"/>
    <mergeCell ref="C923:C924"/>
    <mergeCell ref="D923:D924"/>
    <mergeCell ref="E923:E924"/>
    <mergeCell ref="C925:C926"/>
    <mergeCell ref="D925:D926"/>
    <mergeCell ref="E925:E926"/>
    <mergeCell ref="B925:B926"/>
    <mergeCell ref="B927:B928"/>
    <mergeCell ref="C927:C928"/>
    <mergeCell ref="D927:D928"/>
    <mergeCell ref="E927:E928"/>
    <mergeCell ref="B929:B930"/>
    <mergeCell ref="C929:C930"/>
    <mergeCell ref="B931:B932"/>
    <mergeCell ref="C931:C932"/>
    <mergeCell ref="D931:D932"/>
    <mergeCell ref="E931:E932"/>
    <mergeCell ref="A935:E935"/>
    <mergeCell ref="A936:D936"/>
    <mergeCell ref="C937:C938"/>
    <mergeCell ref="D937:D938"/>
    <mergeCell ref="E937:E938"/>
    <mergeCell ref="F937:F938"/>
    <mergeCell ref="D941:D942"/>
    <mergeCell ref="E941:E942"/>
    <mergeCell ref="B937:B938"/>
    <mergeCell ref="B939:B940"/>
    <mergeCell ref="C939:C940"/>
    <mergeCell ref="D939:D940"/>
    <mergeCell ref="E939:E940"/>
    <mergeCell ref="B941:B942"/>
    <mergeCell ref="C941:C942"/>
    <mergeCell ref="B933:B934"/>
    <mergeCell ref="C933:C934"/>
    <mergeCell ref="D957:D958"/>
    <mergeCell ref="E957:E958"/>
    <mergeCell ref="F943:F944"/>
    <mergeCell ref="C945:C946"/>
    <mergeCell ref="F945:F946"/>
    <mergeCell ref="D949:D950"/>
    <mergeCell ref="E949:E950"/>
    <mergeCell ref="B945:B946"/>
    <mergeCell ref="B947:B948"/>
    <mergeCell ref="C947:C948"/>
    <mergeCell ref="D947:D948"/>
    <mergeCell ref="E947:E948"/>
    <mergeCell ref="B949:B950"/>
    <mergeCell ref="C949:C950"/>
    <mergeCell ref="B967:B968"/>
    <mergeCell ref="C967:C968"/>
    <mergeCell ref="D967:D968"/>
    <mergeCell ref="E967:E968"/>
    <mergeCell ref="E965:E966"/>
    <mergeCell ref="B961:B962"/>
    <mergeCell ref="B963:B964"/>
    <mergeCell ref="C963:C964"/>
    <mergeCell ref="D963:D964"/>
    <mergeCell ref="E963:E964"/>
    <mergeCell ref="B965:B966"/>
    <mergeCell ref="C965:C966"/>
    <mergeCell ref="C969:C970"/>
    <mergeCell ref="D969:D970"/>
    <mergeCell ref="E969:E970"/>
    <mergeCell ref="B969:B970"/>
    <mergeCell ref="B971:B972"/>
    <mergeCell ref="C971:C972"/>
    <mergeCell ref="D971:D972"/>
    <mergeCell ref="E971:E972"/>
    <mergeCell ref="B973:B974"/>
    <mergeCell ref="C973:C974"/>
    <mergeCell ref="B951:B952"/>
    <mergeCell ref="C951:C952"/>
    <mergeCell ref="D951:D952"/>
    <mergeCell ref="E951:E952"/>
    <mergeCell ref="C953:C954"/>
    <mergeCell ref="D953:D954"/>
    <mergeCell ref="E953:E954"/>
    <mergeCell ref="B953:B954"/>
    <mergeCell ref="B955:B956"/>
    <mergeCell ref="C955:C956"/>
    <mergeCell ref="D955:D956"/>
    <mergeCell ref="E955:E956"/>
    <mergeCell ref="B957:B958"/>
    <mergeCell ref="C957:C958"/>
    <mergeCell ref="B959:B960"/>
    <mergeCell ref="C959:C960"/>
    <mergeCell ref="D959:D960"/>
    <mergeCell ref="E959:E960"/>
    <mergeCell ref="C961:C962"/>
    <mergeCell ref="D961:D962"/>
    <mergeCell ref="E961:E962"/>
    <mergeCell ref="D965:D966"/>
    <mergeCell ref="D973:D974"/>
    <mergeCell ref="E973:E974"/>
    <mergeCell ref="D981:D982"/>
    <mergeCell ref="E981:E982"/>
    <mergeCell ref="B114:B115"/>
    <mergeCell ref="C114:C115"/>
    <mergeCell ref="D114:D115"/>
    <mergeCell ref="E114:E115"/>
    <mergeCell ref="A130:E130"/>
    <mergeCell ref="A131:D131"/>
    <mergeCell ref="B132:B133"/>
    <mergeCell ref="C132:C133"/>
    <mergeCell ref="D132:D133"/>
    <mergeCell ref="E132:E133"/>
    <mergeCell ref="D158:D159"/>
    <mergeCell ref="E158:E159"/>
    <mergeCell ref="B156:B157"/>
    <mergeCell ref="C156:C157"/>
    <mergeCell ref="D156:D157"/>
    <mergeCell ref="E156:E157"/>
    <mergeCell ref="C164:C165"/>
    <mergeCell ref="D164:D165"/>
    <mergeCell ref="E164:E165"/>
    <mergeCell ref="C166:C167"/>
    <mergeCell ref="D166:D167"/>
    <mergeCell ref="E166:E167"/>
    <mergeCell ref="B166:B167"/>
    <mergeCell ref="B168:B169"/>
    <mergeCell ref="C168:C169"/>
    <mergeCell ref="D168:D169"/>
    <mergeCell ref="E168:E169"/>
    <mergeCell ref="B170:B171"/>
    <mergeCell ref="E118:E119"/>
    <mergeCell ref="B120:B121"/>
    <mergeCell ref="C120:C121"/>
    <mergeCell ref="E108:E109"/>
    <mergeCell ref="F108:F109"/>
    <mergeCell ref="B104:B105"/>
    <mergeCell ref="B106:B107"/>
    <mergeCell ref="C106:C107"/>
    <mergeCell ref="D106:D107"/>
    <mergeCell ref="E106:E107"/>
    <mergeCell ref="F106:F107"/>
    <mergeCell ref="B108:B109"/>
    <mergeCell ref="E112:E113"/>
    <mergeCell ref="F112:F113"/>
    <mergeCell ref="B110:B111"/>
    <mergeCell ref="C110:C111"/>
    <mergeCell ref="D110:D111"/>
    <mergeCell ref="E110:E111"/>
    <mergeCell ref="B112:B113"/>
    <mergeCell ref="C112:C113"/>
    <mergeCell ref="D112:D113"/>
    <mergeCell ref="D116:D117"/>
    <mergeCell ref="E116:E117"/>
    <mergeCell ref="D120:D121"/>
    <mergeCell ref="E120:E121"/>
    <mergeCell ref="B128:B129"/>
    <mergeCell ref="C128:C129"/>
    <mergeCell ref="D128:D129"/>
    <mergeCell ref="E128:E129"/>
    <mergeCell ref="F128:F129"/>
    <mergeCell ref="C10:C11"/>
    <mergeCell ref="D10:D11"/>
    <mergeCell ref="F10:F11"/>
    <mergeCell ref="A3:A6"/>
    <mergeCell ref="B3:B6"/>
    <mergeCell ref="C3:E3"/>
    <mergeCell ref="A7:E7"/>
    <mergeCell ref="A8:E8"/>
    <mergeCell ref="A9:D9"/>
    <mergeCell ref="E10:E11"/>
    <mergeCell ref="D14:D15"/>
    <mergeCell ref="E14:E15"/>
    <mergeCell ref="F14:F15"/>
    <mergeCell ref="B10:B11"/>
    <mergeCell ref="B12:B13"/>
    <mergeCell ref="C12:C13"/>
    <mergeCell ref="D12:D13"/>
    <mergeCell ref="E12:E13"/>
    <mergeCell ref="B14:B15"/>
    <mergeCell ref="C14:C15"/>
    <mergeCell ref="B16:B17"/>
    <mergeCell ref="C16:C17"/>
    <mergeCell ref="D16:D17"/>
    <mergeCell ref="E16:E17"/>
    <mergeCell ref="F16:F17"/>
    <mergeCell ref="F114:F115"/>
    <mergeCell ref="C116:C117"/>
    <mergeCell ref="A18:E18"/>
    <mergeCell ref="A19:D19"/>
    <mergeCell ref="D22:D23"/>
    <mergeCell ref="E22:E23"/>
    <mergeCell ref="C30:C31"/>
    <mergeCell ref="D30:D31"/>
    <mergeCell ref="B20:B21"/>
    <mergeCell ref="C20:C21"/>
    <mergeCell ref="D20:D21"/>
    <mergeCell ref="E20:E21"/>
    <mergeCell ref="F20:F21"/>
    <mergeCell ref="C22:C23"/>
    <mergeCell ref="F22:F23"/>
    <mergeCell ref="B22:B23"/>
    <mergeCell ref="B24:B25"/>
    <mergeCell ref="C24:C25"/>
    <mergeCell ref="D24:D25"/>
    <mergeCell ref="E24:E25"/>
    <mergeCell ref="F24:F25"/>
    <mergeCell ref="E30:E31"/>
    <mergeCell ref="D34:D35"/>
    <mergeCell ref="E34:E35"/>
    <mergeCell ref="B30:B31"/>
    <mergeCell ref="B32:B33"/>
    <mergeCell ref="C32:C33"/>
    <mergeCell ref="D32:D33"/>
    <mergeCell ref="E32:E33"/>
    <mergeCell ref="B34:B35"/>
    <mergeCell ref="C34:C35"/>
    <mergeCell ref="B36:B37"/>
    <mergeCell ref="C36:C37"/>
    <mergeCell ref="D36:D37"/>
    <mergeCell ref="E36:E37"/>
    <mergeCell ref="C38:C39"/>
    <mergeCell ref="D38:D39"/>
    <mergeCell ref="E38:E39"/>
    <mergeCell ref="D42:D43"/>
    <mergeCell ref="E42:E43"/>
    <mergeCell ref="B38:B39"/>
    <mergeCell ref="B40:B41"/>
    <mergeCell ref="C40:C41"/>
    <mergeCell ref="D40:D41"/>
    <mergeCell ref="E40:E41"/>
    <mergeCell ref="B42:B43"/>
    <mergeCell ref="C42:C43"/>
    <mergeCell ref="B44:B45"/>
    <mergeCell ref="C44:C45"/>
    <mergeCell ref="D44:D45"/>
    <mergeCell ref="E44:E45"/>
    <mergeCell ref="F44:F45"/>
    <mergeCell ref="A46:E46"/>
    <mergeCell ref="A47:D47"/>
    <mergeCell ref="D50:D51"/>
    <mergeCell ref="E50:E51"/>
    <mergeCell ref="B48:B49"/>
    <mergeCell ref="C48:C49"/>
    <mergeCell ref="D48:D49"/>
    <mergeCell ref="E48:E49"/>
    <mergeCell ref="F49:F51"/>
    <mergeCell ref="B50:B51"/>
    <mergeCell ref="C50:C51"/>
    <mergeCell ref="D54:D55"/>
    <mergeCell ref="E54:E55"/>
    <mergeCell ref="B52:B53"/>
    <mergeCell ref="C52:C53"/>
    <mergeCell ref="D52:D53"/>
    <mergeCell ref="E52:E53"/>
    <mergeCell ref="F52:F55"/>
    <mergeCell ref="B54:B55"/>
    <mergeCell ref="C54:C55"/>
    <mergeCell ref="B56:B57"/>
    <mergeCell ref="C56:C57"/>
    <mergeCell ref="D56:D57"/>
    <mergeCell ref="E56:E57"/>
    <mergeCell ref="B58:B59"/>
    <mergeCell ref="C58:C59"/>
    <mergeCell ref="D58:D59"/>
    <mergeCell ref="E58:E59"/>
    <mergeCell ref="A60:E60"/>
    <mergeCell ref="A61:D61"/>
    <mergeCell ref="B62:B63"/>
    <mergeCell ref="C62:C63"/>
    <mergeCell ref="D62:D63"/>
    <mergeCell ref="E62:E63"/>
    <mergeCell ref="B64:B65"/>
    <mergeCell ref="C64:C65"/>
    <mergeCell ref="D64:D65"/>
    <mergeCell ref="E64:E65"/>
    <mergeCell ref="C66:C67"/>
    <mergeCell ref="D66:D67"/>
    <mergeCell ref="E66:E67"/>
    <mergeCell ref="D70:D71"/>
    <mergeCell ref="E70:E71"/>
    <mergeCell ref="B66:B67"/>
    <mergeCell ref="B68:B69"/>
    <mergeCell ref="C68:C69"/>
    <mergeCell ref="D68:D69"/>
    <mergeCell ref="E68:E69"/>
    <mergeCell ref="B70:B71"/>
    <mergeCell ref="C70:C71"/>
    <mergeCell ref="D74:D75"/>
    <mergeCell ref="E74:E75"/>
    <mergeCell ref="B72:B73"/>
    <mergeCell ref="C72:C73"/>
    <mergeCell ref="D72:D73"/>
    <mergeCell ref="E72:E73"/>
    <mergeCell ref="E94:E95"/>
    <mergeCell ref="F94:F95"/>
    <mergeCell ref="B92:B93"/>
    <mergeCell ref="C92:C93"/>
    <mergeCell ref="D92:D93"/>
    <mergeCell ref="E92:E93"/>
    <mergeCell ref="B94:B95"/>
    <mergeCell ref="C94:C95"/>
    <mergeCell ref="D94:D95"/>
    <mergeCell ref="A96:E96"/>
    <mergeCell ref="A97:D97"/>
    <mergeCell ref="B98:B99"/>
    <mergeCell ref="C98:C99"/>
    <mergeCell ref="F72:F75"/>
    <mergeCell ref="B74:B75"/>
    <mergeCell ref="C74:C75"/>
    <mergeCell ref="B76:B77"/>
    <mergeCell ref="C76:C77"/>
    <mergeCell ref="D76:D77"/>
    <mergeCell ref="E76:E77"/>
    <mergeCell ref="A78:E78"/>
    <mergeCell ref="A79:D79"/>
    <mergeCell ref="B80:B81"/>
    <mergeCell ref="E80:E81"/>
    <mergeCell ref="C80:C81"/>
    <mergeCell ref="D80:D81"/>
    <mergeCell ref="B82:B83"/>
    <mergeCell ref="C82:C83"/>
    <mergeCell ref="D82:D83"/>
    <mergeCell ref="E82:E83"/>
    <mergeCell ref="F82:F83"/>
    <mergeCell ref="E86:E87"/>
    <mergeCell ref="F86:F87"/>
    <mergeCell ref="F88:F91"/>
    <mergeCell ref="E90:E91"/>
    <mergeCell ref="B84:B85"/>
    <mergeCell ref="C84:C85"/>
    <mergeCell ref="D84:D85"/>
    <mergeCell ref="E84:E85"/>
    <mergeCell ref="B86:B87"/>
    <mergeCell ref="C86:C87"/>
    <mergeCell ref="D86:D87"/>
    <mergeCell ref="B88:B89"/>
    <mergeCell ref="C88:C89"/>
    <mergeCell ref="D88:D89"/>
    <mergeCell ref="E88:E89"/>
    <mergeCell ref="B90:B91"/>
    <mergeCell ref="C90:C91"/>
    <mergeCell ref="D90:D91"/>
    <mergeCell ref="D98:D99"/>
    <mergeCell ref="E98:E99"/>
    <mergeCell ref="B100:B101"/>
    <mergeCell ref="E100:E101"/>
    <mergeCell ref="C108:C109"/>
    <mergeCell ref="D108:D109"/>
    <mergeCell ref="C126:C127"/>
    <mergeCell ref="D126:D127"/>
    <mergeCell ref="F126:F127"/>
    <mergeCell ref="B122:B123"/>
    <mergeCell ref="C122:C123"/>
    <mergeCell ref="D122:D123"/>
    <mergeCell ref="E122:E123"/>
    <mergeCell ref="A124:E124"/>
    <mergeCell ref="A125:D125"/>
    <mergeCell ref="E126:E127"/>
    <mergeCell ref="C104:C105"/>
    <mergeCell ref="D104:D105"/>
    <mergeCell ref="C100:C101"/>
    <mergeCell ref="D100:D101"/>
    <mergeCell ref="B102:B103"/>
    <mergeCell ref="C102:C103"/>
    <mergeCell ref="D102:D103"/>
    <mergeCell ref="E102:E103"/>
    <mergeCell ref="E104:E105"/>
    <mergeCell ref="F120:F121"/>
    <mergeCell ref="B126:B127"/>
    <mergeCell ref="F116:F117"/>
    <mergeCell ref="B116:B117"/>
    <mergeCell ref="B118:B119"/>
    <mergeCell ref="C118:C119"/>
    <mergeCell ref="D118:D119"/>
    <mergeCell ref="F132:F133"/>
    <mergeCell ref="E136:E137"/>
    <mergeCell ref="F136:F137"/>
    <mergeCell ref="B134:B135"/>
    <mergeCell ref="C134:C135"/>
    <mergeCell ref="D134:D135"/>
    <mergeCell ref="E134:E135"/>
    <mergeCell ref="B136:B137"/>
    <mergeCell ref="C136:C137"/>
    <mergeCell ref="D136:D137"/>
    <mergeCell ref="E140:E141"/>
    <mergeCell ref="F140:F141"/>
    <mergeCell ref="B138:B139"/>
    <mergeCell ref="C138:C139"/>
    <mergeCell ref="D138:D139"/>
    <mergeCell ref="E138:E139"/>
    <mergeCell ref="B140:B141"/>
    <mergeCell ref="C140:C141"/>
    <mergeCell ref="D140:D141"/>
    <mergeCell ref="C170:C171"/>
    <mergeCell ref="E174:E175"/>
    <mergeCell ref="F174:F175"/>
    <mergeCell ref="D170:D171"/>
    <mergeCell ref="E170:E171"/>
    <mergeCell ref="A172:E172"/>
    <mergeCell ref="A173:D173"/>
    <mergeCell ref="B174:B175"/>
    <mergeCell ref="C174:C175"/>
    <mergeCell ref="D174:D175"/>
    <mergeCell ref="C146:C147"/>
    <mergeCell ref="D146:D147"/>
    <mergeCell ref="F146:F147"/>
    <mergeCell ref="F152:F153"/>
    <mergeCell ref="F156:F157"/>
    <mergeCell ref="B158:B159"/>
    <mergeCell ref="C158:C159"/>
    <mergeCell ref="D162:D163"/>
    <mergeCell ref="E162:E163"/>
    <mergeCell ref="B160:B161"/>
    <mergeCell ref="C160:C161"/>
    <mergeCell ref="D160:D161"/>
    <mergeCell ref="E160:E161"/>
    <mergeCell ref="F160:F161"/>
    <mergeCell ref="B162:B163"/>
    <mergeCell ref="C162:C163"/>
    <mergeCell ref="B164:B165"/>
    <mergeCell ref="B142:B143"/>
    <mergeCell ref="C142:C143"/>
    <mergeCell ref="D142:D143"/>
    <mergeCell ref="E142:E143"/>
    <mergeCell ref="A144:E144"/>
    <mergeCell ref="A145:D145"/>
    <mergeCell ref="E146:E147"/>
    <mergeCell ref="D150:D151"/>
    <mergeCell ref="E150:E151"/>
    <mergeCell ref="B146:B147"/>
    <mergeCell ref="B148:B149"/>
    <mergeCell ref="C148:C149"/>
    <mergeCell ref="D148:D149"/>
    <mergeCell ref="E148:E149"/>
    <mergeCell ref="B150:B151"/>
    <mergeCell ref="C150:C151"/>
    <mergeCell ref="D154:D155"/>
    <mergeCell ref="E154:E155"/>
    <mergeCell ref="B152:B153"/>
    <mergeCell ref="C152:C153"/>
    <mergeCell ref="D152:D153"/>
    <mergeCell ref="E152:E153"/>
    <mergeCell ref="B154:B155"/>
    <mergeCell ref="C154:C155"/>
    <mergeCell ref="F202:F203"/>
    <mergeCell ref="C196:C197"/>
    <mergeCell ref="D196:D197"/>
    <mergeCell ref="B198:B199"/>
    <mergeCell ref="C198:C199"/>
    <mergeCell ref="D198:D199"/>
    <mergeCell ref="E198:E199"/>
    <mergeCell ref="E200:E201"/>
    <mergeCell ref="B206:B207"/>
    <mergeCell ref="C206:C207"/>
    <mergeCell ref="D206:D207"/>
    <mergeCell ref="E206:E207"/>
    <mergeCell ref="C208:C209"/>
    <mergeCell ref="D208:D209"/>
    <mergeCell ref="E208:E209"/>
    <mergeCell ref="B208:B209"/>
    <mergeCell ref="E184:E185"/>
    <mergeCell ref="C186:C187"/>
    <mergeCell ref="D186:D187"/>
    <mergeCell ref="E186:E187"/>
    <mergeCell ref="D190:D191"/>
    <mergeCell ref="E190:E191"/>
    <mergeCell ref="B186:B187"/>
    <mergeCell ref="B188:B189"/>
    <mergeCell ref="C188:C189"/>
    <mergeCell ref="D188:D189"/>
    <mergeCell ref="E188:E189"/>
    <mergeCell ref="B190:B191"/>
    <mergeCell ref="C190:C191"/>
    <mergeCell ref="B192:B193"/>
    <mergeCell ref="C192:C193"/>
    <mergeCell ref="D192:D193"/>
    <mergeCell ref="F210:F211"/>
    <mergeCell ref="A212:D212"/>
    <mergeCell ref="D204:D205"/>
    <mergeCell ref="E204:E205"/>
    <mergeCell ref="B200:B201"/>
    <mergeCell ref="B202:B203"/>
    <mergeCell ref="C202:C203"/>
    <mergeCell ref="D202:D203"/>
    <mergeCell ref="E202:E203"/>
    <mergeCell ref="B204:B205"/>
    <mergeCell ref="C204:C205"/>
    <mergeCell ref="B176:B177"/>
    <mergeCell ref="C176:C177"/>
    <mergeCell ref="D176:D177"/>
    <mergeCell ref="E176:E177"/>
    <mergeCell ref="C178:C179"/>
    <mergeCell ref="D178:D179"/>
    <mergeCell ref="E178:E179"/>
    <mergeCell ref="B178:B179"/>
    <mergeCell ref="B180:B181"/>
    <mergeCell ref="C180:C181"/>
    <mergeCell ref="D180:D181"/>
    <mergeCell ref="E180:E181"/>
    <mergeCell ref="B182:B183"/>
    <mergeCell ref="C182:C183"/>
    <mergeCell ref="B184:B185"/>
    <mergeCell ref="C184:C185"/>
    <mergeCell ref="D184:D185"/>
    <mergeCell ref="D182:D183"/>
    <mergeCell ref="E182:E183"/>
    <mergeCell ref="C200:C201"/>
    <mergeCell ref="D200:D201"/>
    <mergeCell ref="E192:E193"/>
    <mergeCell ref="A194:E194"/>
    <mergeCell ref="A195:D195"/>
    <mergeCell ref="B196:B197"/>
    <mergeCell ref="E196:E197"/>
    <mergeCell ref="D219:D220"/>
    <mergeCell ref="E219:E220"/>
    <mergeCell ref="B229:B230"/>
    <mergeCell ref="C229:C230"/>
    <mergeCell ref="D229:D230"/>
    <mergeCell ref="E229:E230"/>
    <mergeCell ref="C231:C232"/>
    <mergeCell ref="D231:D232"/>
    <mergeCell ref="E231:E232"/>
    <mergeCell ref="B231:B232"/>
    <mergeCell ref="D225:D226"/>
    <mergeCell ref="E225:E226"/>
    <mergeCell ref="B227:B228"/>
    <mergeCell ref="C227:C228"/>
    <mergeCell ref="B210:B211"/>
    <mergeCell ref="C210:C211"/>
    <mergeCell ref="D210:D211"/>
    <mergeCell ref="E210:E211"/>
    <mergeCell ref="B233:B234"/>
    <mergeCell ref="C233:C234"/>
    <mergeCell ref="D233:D234"/>
    <mergeCell ref="E233:E234"/>
    <mergeCell ref="B235:B236"/>
    <mergeCell ref="C235:C236"/>
    <mergeCell ref="E239:E240"/>
    <mergeCell ref="F239:F240"/>
    <mergeCell ref="F245:F246"/>
    <mergeCell ref="B237:B238"/>
    <mergeCell ref="C237:C238"/>
    <mergeCell ref="D237:D238"/>
    <mergeCell ref="E237:E238"/>
    <mergeCell ref="B239:B240"/>
    <mergeCell ref="C239:C240"/>
    <mergeCell ref="D239:D240"/>
    <mergeCell ref="B241:B242"/>
    <mergeCell ref="C241:C242"/>
    <mergeCell ref="D241:D242"/>
    <mergeCell ref="E241:E242"/>
    <mergeCell ref="C243:C244"/>
    <mergeCell ref="D243:D244"/>
    <mergeCell ref="E243:E244"/>
    <mergeCell ref="B243:B244"/>
    <mergeCell ref="B245:B246"/>
    <mergeCell ref="C245:C246"/>
    <mergeCell ref="D245:D246"/>
    <mergeCell ref="E245:E246"/>
    <mergeCell ref="D235:D236"/>
    <mergeCell ref="E235:E236"/>
    <mergeCell ref="B247:B248"/>
    <mergeCell ref="C247:C248"/>
    <mergeCell ref="C251:C252"/>
    <mergeCell ref="D251:D252"/>
    <mergeCell ref="D247:D248"/>
    <mergeCell ref="E247:E248"/>
    <mergeCell ref="B249:B250"/>
    <mergeCell ref="C249:C250"/>
    <mergeCell ref="D249:D250"/>
    <mergeCell ref="E249:E250"/>
    <mergeCell ref="E251:E252"/>
    <mergeCell ref="D255:D256"/>
    <mergeCell ref="E255:E256"/>
    <mergeCell ref="F261:F262"/>
    <mergeCell ref="F263:F264"/>
    <mergeCell ref="B251:B252"/>
    <mergeCell ref="B253:B254"/>
    <mergeCell ref="C253:C254"/>
    <mergeCell ref="D253:D254"/>
    <mergeCell ref="E253:E254"/>
    <mergeCell ref="B255:B256"/>
    <mergeCell ref="C255:C256"/>
    <mergeCell ref="B257:B258"/>
    <mergeCell ref="C257:C258"/>
    <mergeCell ref="D257:D258"/>
    <mergeCell ref="E257:E258"/>
    <mergeCell ref="C259:C260"/>
    <mergeCell ref="D259:D260"/>
    <mergeCell ref="E259:E260"/>
    <mergeCell ref="B259:B260"/>
    <mergeCell ref="B261:B262"/>
    <mergeCell ref="C261:C262"/>
    <mergeCell ref="D261:D262"/>
    <mergeCell ref="E261:E262"/>
    <mergeCell ref="B263:B264"/>
    <mergeCell ref="C263:C264"/>
    <mergeCell ref="C267:C268"/>
    <mergeCell ref="D267:D268"/>
    <mergeCell ref="D263:D264"/>
    <mergeCell ref="E263:E264"/>
    <mergeCell ref="B265:B266"/>
    <mergeCell ref="C265:C266"/>
    <mergeCell ref="D265:D266"/>
    <mergeCell ref="E265:E266"/>
    <mergeCell ref="E267:E268"/>
    <mergeCell ref="D271:D272"/>
    <mergeCell ref="E271:E272"/>
    <mergeCell ref="F275:F276"/>
    <mergeCell ref="B267:B268"/>
    <mergeCell ref="B269:B270"/>
    <mergeCell ref="C269:C270"/>
    <mergeCell ref="D269:D270"/>
    <mergeCell ref="E269:E270"/>
    <mergeCell ref="B271:B272"/>
    <mergeCell ref="C271:C272"/>
    <mergeCell ref="B273:B274"/>
    <mergeCell ref="C273:C274"/>
    <mergeCell ref="D273:D274"/>
    <mergeCell ref="E273:E274"/>
    <mergeCell ref="C275:C276"/>
    <mergeCell ref="D275:D276"/>
    <mergeCell ref="E275:E276"/>
    <mergeCell ref="B275:B276"/>
    <mergeCell ref="B277:B278"/>
    <mergeCell ref="C277:C278"/>
    <mergeCell ref="D277:D278"/>
    <mergeCell ref="E277:E278"/>
    <mergeCell ref="B279:B280"/>
    <mergeCell ref="C279:C280"/>
    <mergeCell ref="B213:B214"/>
    <mergeCell ref="C213:C214"/>
    <mergeCell ref="D213:D214"/>
    <mergeCell ref="E213:E214"/>
    <mergeCell ref="C215:C216"/>
    <mergeCell ref="D215:D216"/>
    <mergeCell ref="E215:E216"/>
    <mergeCell ref="B215:B216"/>
    <mergeCell ref="B217:B218"/>
    <mergeCell ref="C217:C218"/>
    <mergeCell ref="D217:D218"/>
    <mergeCell ref="E217:E218"/>
    <mergeCell ref="B219:B220"/>
    <mergeCell ref="C219:C220"/>
    <mergeCell ref="B221:B222"/>
    <mergeCell ref="C221:C222"/>
    <mergeCell ref="D221:D222"/>
    <mergeCell ref="E221:E222"/>
    <mergeCell ref="C223:C224"/>
    <mergeCell ref="D223:D224"/>
    <mergeCell ref="E223:E224"/>
    <mergeCell ref="D227:D228"/>
    <mergeCell ref="E227:E228"/>
    <mergeCell ref="B223:B224"/>
    <mergeCell ref="B225:B226"/>
    <mergeCell ref="C225:C226"/>
    <mergeCell ref="B283:B284"/>
    <mergeCell ref="B285:B286"/>
    <mergeCell ref="C285:C286"/>
    <mergeCell ref="D285:D286"/>
    <mergeCell ref="E285:E286"/>
    <mergeCell ref="C283:C284"/>
    <mergeCell ref="D283:D284"/>
    <mergeCell ref="D279:D280"/>
    <mergeCell ref="E279:E280"/>
    <mergeCell ref="B281:B282"/>
    <mergeCell ref="C281:C282"/>
    <mergeCell ref="D281:D282"/>
    <mergeCell ref="E281:E282"/>
    <mergeCell ref="E283:E284"/>
    <mergeCell ref="A287:E287"/>
    <mergeCell ref="A288:D288"/>
    <mergeCell ref="A289:D289"/>
    <mergeCell ref="B290:B291"/>
    <mergeCell ref="C290:C291"/>
    <mergeCell ref="D290:D291"/>
    <mergeCell ref="E290:E291"/>
    <mergeCell ref="B292:B293"/>
    <mergeCell ref="C292:C293"/>
    <mergeCell ref="D292:D293"/>
    <mergeCell ref="E292:E293"/>
    <mergeCell ref="C294:C295"/>
    <mergeCell ref="D294:D295"/>
    <mergeCell ref="E294:E295"/>
    <mergeCell ref="E298:E299"/>
    <mergeCell ref="F298:F299"/>
    <mergeCell ref="E300:E301"/>
    <mergeCell ref="F300:F301"/>
    <mergeCell ref="E302:E303"/>
    <mergeCell ref="F302:F303"/>
    <mergeCell ref="B294:B295"/>
    <mergeCell ref="B296:B297"/>
    <mergeCell ref="C296:C297"/>
    <mergeCell ref="D296:D297"/>
    <mergeCell ref="E296:E297"/>
    <mergeCell ref="F296:F297"/>
    <mergeCell ref="B298:B299"/>
    <mergeCell ref="C298:C299"/>
    <mergeCell ref="D298:D299"/>
    <mergeCell ref="B300:B301"/>
    <mergeCell ref="C300:C301"/>
    <mergeCell ref="D300:D301"/>
    <mergeCell ref="C302:C303"/>
    <mergeCell ref="D302:D303"/>
    <mergeCell ref="D306:D307"/>
    <mergeCell ref="E306:E307"/>
    <mergeCell ref="B302:B303"/>
    <mergeCell ref="B304:B305"/>
    <mergeCell ref="C304:C305"/>
    <mergeCell ref="D304:D305"/>
    <mergeCell ref="E304:E305"/>
    <mergeCell ref="B306:B307"/>
    <mergeCell ref="C306:C307"/>
    <mergeCell ref="B308:B309"/>
    <mergeCell ref="C308:C309"/>
    <mergeCell ref="D308:D309"/>
    <mergeCell ref="E308:E309"/>
    <mergeCell ref="C310:C311"/>
    <mergeCell ref="D310:D311"/>
    <mergeCell ref="E310:E311"/>
    <mergeCell ref="D314:D315"/>
    <mergeCell ref="E314:E315"/>
    <mergeCell ref="F314:F315"/>
    <mergeCell ref="B310:B311"/>
    <mergeCell ref="B312:B313"/>
    <mergeCell ref="C312:C313"/>
    <mergeCell ref="D312:D313"/>
    <mergeCell ref="E312:E313"/>
    <mergeCell ref="B314:B315"/>
    <mergeCell ref="C314:C315"/>
    <mergeCell ref="D318:D319"/>
    <mergeCell ref="E318:E319"/>
    <mergeCell ref="B316:B317"/>
    <mergeCell ref="C316:C317"/>
    <mergeCell ref="D316:D317"/>
    <mergeCell ref="E316:E317"/>
    <mergeCell ref="F316:F317"/>
    <mergeCell ref="B318:B319"/>
    <mergeCell ref="C318:C319"/>
    <mergeCell ref="D336:D337"/>
    <mergeCell ref="E336:E337"/>
    <mergeCell ref="C338:C339"/>
    <mergeCell ref="D338:D339"/>
    <mergeCell ref="E338:E339"/>
    <mergeCell ref="B338:B339"/>
    <mergeCell ref="B340:B341"/>
    <mergeCell ref="C340:C341"/>
    <mergeCell ref="D340:D341"/>
    <mergeCell ref="E340:E341"/>
    <mergeCell ref="B342:B343"/>
    <mergeCell ref="C342:C343"/>
    <mergeCell ref="B320:B321"/>
    <mergeCell ref="C320:C321"/>
    <mergeCell ref="D320:D321"/>
    <mergeCell ref="E320:E321"/>
    <mergeCell ref="C322:C323"/>
    <mergeCell ref="D322:D323"/>
    <mergeCell ref="E322:E323"/>
    <mergeCell ref="D326:D327"/>
    <mergeCell ref="E326:E327"/>
    <mergeCell ref="B322:B323"/>
    <mergeCell ref="B324:B325"/>
    <mergeCell ref="C324:C325"/>
    <mergeCell ref="D324:D325"/>
    <mergeCell ref="E324:E325"/>
    <mergeCell ref="B326:B327"/>
    <mergeCell ref="C326:C327"/>
    <mergeCell ref="B328:B329"/>
    <mergeCell ref="C328:C329"/>
    <mergeCell ref="D328:D329"/>
    <mergeCell ref="E328:E329"/>
    <mergeCell ref="E362:E363"/>
    <mergeCell ref="D366:D367"/>
    <mergeCell ref="E366:E367"/>
    <mergeCell ref="B362:B363"/>
    <mergeCell ref="B364:B365"/>
    <mergeCell ref="C364:C365"/>
    <mergeCell ref="D364:D365"/>
    <mergeCell ref="E364:E365"/>
    <mergeCell ref="B366:B367"/>
    <mergeCell ref="C366:C367"/>
    <mergeCell ref="D358:D359"/>
    <mergeCell ref="E358:E359"/>
    <mergeCell ref="C330:C331"/>
    <mergeCell ref="D330:D331"/>
    <mergeCell ref="E330:E331"/>
    <mergeCell ref="D334:D335"/>
    <mergeCell ref="E334:E335"/>
    <mergeCell ref="B330:B331"/>
    <mergeCell ref="B332:B333"/>
    <mergeCell ref="C332:C333"/>
    <mergeCell ref="D332:D333"/>
    <mergeCell ref="E332:E333"/>
    <mergeCell ref="B334:B335"/>
    <mergeCell ref="C334:C335"/>
    <mergeCell ref="D342:D343"/>
    <mergeCell ref="E342:E343"/>
    <mergeCell ref="B344:B345"/>
    <mergeCell ref="C344:C345"/>
    <mergeCell ref="D344:D345"/>
    <mergeCell ref="E344:E345"/>
    <mergeCell ref="B336:B337"/>
    <mergeCell ref="C336:C337"/>
    <mergeCell ref="B382:B383"/>
    <mergeCell ref="C382:C383"/>
    <mergeCell ref="A346:E346"/>
    <mergeCell ref="A347:D347"/>
    <mergeCell ref="B348:B349"/>
    <mergeCell ref="C348:C349"/>
    <mergeCell ref="D348:D349"/>
    <mergeCell ref="E348:E349"/>
    <mergeCell ref="B350:B351"/>
    <mergeCell ref="E350:E351"/>
    <mergeCell ref="C354:C355"/>
    <mergeCell ref="D354:D355"/>
    <mergeCell ref="C350:C351"/>
    <mergeCell ref="D350:D351"/>
    <mergeCell ref="B352:B353"/>
    <mergeCell ref="C352:C353"/>
    <mergeCell ref="D352:D353"/>
    <mergeCell ref="E352:E353"/>
    <mergeCell ref="E354:E355"/>
    <mergeCell ref="B354:B355"/>
    <mergeCell ref="B356:B357"/>
    <mergeCell ref="C356:C357"/>
    <mergeCell ref="D356:D357"/>
    <mergeCell ref="E356:E357"/>
    <mergeCell ref="B358:B359"/>
    <mergeCell ref="C358:C359"/>
    <mergeCell ref="B360:B361"/>
    <mergeCell ref="C360:C361"/>
    <mergeCell ref="D360:D361"/>
    <mergeCell ref="E360:E361"/>
    <mergeCell ref="C362:C363"/>
    <mergeCell ref="D362:D363"/>
    <mergeCell ref="D376:D377"/>
    <mergeCell ref="E376:E377"/>
    <mergeCell ref="D374:D375"/>
    <mergeCell ref="E374:E375"/>
    <mergeCell ref="C392:C393"/>
    <mergeCell ref="D392:D393"/>
    <mergeCell ref="C388:C389"/>
    <mergeCell ref="D388:D389"/>
    <mergeCell ref="B390:B391"/>
    <mergeCell ref="C390:C391"/>
    <mergeCell ref="D390:D391"/>
    <mergeCell ref="E390:E391"/>
    <mergeCell ref="E392:E393"/>
    <mergeCell ref="D396:D397"/>
    <mergeCell ref="E396:E397"/>
    <mergeCell ref="B392:B393"/>
    <mergeCell ref="B394:B395"/>
    <mergeCell ref="C394:C395"/>
    <mergeCell ref="D394:D395"/>
    <mergeCell ref="E394:E395"/>
    <mergeCell ref="B396:B397"/>
    <mergeCell ref="C396:C397"/>
    <mergeCell ref="C378:C379"/>
    <mergeCell ref="D378:D379"/>
    <mergeCell ref="E378:E379"/>
    <mergeCell ref="D382:D383"/>
    <mergeCell ref="E382:E383"/>
    <mergeCell ref="B378:B379"/>
    <mergeCell ref="B380:B381"/>
    <mergeCell ref="C380:C381"/>
    <mergeCell ref="D380:D381"/>
    <mergeCell ref="E380:E381"/>
    <mergeCell ref="C571:C572"/>
    <mergeCell ref="B552:B553"/>
    <mergeCell ref="C552:C553"/>
    <mergeCell ref="D552:D553"/>
    <mergeCell ref="E552:E553"/>
    <mergeCell ref="C554:C555"/>
    <mergeCell ref="D554:D555"/>
    <mergeCell ref="E554:E555"/>
    <mergeCell ref="B554:B555"/>
    <mergeCell ref="B556:B557"/>
    <mergeCell ref="C556:C557"/>
    <mergeCell ref="D556:D557"/>
    <mergeCell ref="E556:E557"/>
    <mergeCell ref="C558:C559"/>
    <mergeCell ref="A560:D560"/>
    <mergeCell ref="B558:B559"/>
    <mergeCell ref="B368:B369"/>
    <mergeCell ref="C368:C369"/>
    <mergeCell ref="D368:D369"/>
    <mergeCell ref="E368:E369"/>
    <mergeCell ref="C370:C371"/>
    <mergeCell ref="D370:D371"/>
    <mergeCell ref="E370:E371"/>
    <mergeCell ref="B370:B371"/>
    <mergeCell ref="B372:B373"/>
    <mergeCell ref="C372:C373"/>
    <mergeCell ref="D372:D373"/>
    <mergeCell ref="E372:E373"/>
    <mergeCell ref="B374:B375"/>
    <mergeCell ref="C374:C375"/>
    <mergeCell ref="B376:B377"/>
    <mergeCell ref="C376:C377"/>
    <mergeCell ref="F561:F564"/>
    <mergeCell ref="B563:B564"/>
    <mergeCell ref="E563:E564"/>
    <mergeCell ref="C567:C568"/>
    <mergeCell ref="D567:D568"/>
    <mergeCell ref="C563:C564"/>
    <mergeCell ref="D563:D564"/>
    <mergeCell ref="B565:B566"/>
    <mergeCell ref="C565:C566"/>
    <mergeCell ref="D565:D566"/>
    <mergeCell ref="E565:E566"/>
    <mergeCell ref="E567:E568"/>
    <mergeCell ref="D571:D572"/>
    <mergeCell ref="E571:E572"/>
    <mergeCell ref="D592:D593"/>
    <mergeCell ref="E592:E593"/>
    <mergeCell ref="A384:E384"/>
    <mergeCell ref="A385:D385"/>
    <mergeCell ref="B386:B387"/>
    <mergeCell ref="C386:C387"/>
    <mergeCell ref="D386:D387"/>
    <mergeCell ref="E386:E387"/>
    <mergeCell ref="B388:B389"/>
    <mergeCell ref="E388:E389"/>
    <mergeCell ref="D404:D405"/>
    <mergeCell ref="E404:E405"/>
    <mergeCell ref="B567:B568"/>
    <mergeCell ref="B569:B570"/>
    <mergeCell ref="C569:C570"/>
    <mergeCell ref="D569:D570"/>
    <mergeCell ref="E569:E570"/>
    <mergeCell ref="B571:B572"/>
  </mergeCells>
  <dataValidations count="1">
    <dataValidation type="list" allowBlank="1" showErrorMessage="1" sqref="B985 B1012" xr:uid="{00000000-0002-0000-0000-000000000000}">
      <formula1>"0,1%,2%,3%,4%,5%,6%,7%,8%"</formula1>
    </dataValidation>
  </dataValidations>
  <printOptions horizontalCentered="1"/>
  <pageMargins left="0.25" right="0.25" top="0.75" bottom="0.75" header="0" footer="0"/>
  <pageSetup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F1072"/>
  <sheetViews>
    <sheetView workbookViewId="0"/>
  </sheetViews>
  <sheetFormatPr defaultColWidth="12.5703125" defaultRowHeight="15" customHeight="1" outlineLevelRow="3" x14ac:dyDescent="0.2"/>
  <cols>
    <col min="1" max="1" width="89.42578125" customWidth="1"/>
    <col min="3" max="3" width="10.28515625" customWidth="1"/>
    <col min="4" max="5" width="10.42578125" customWidth="1"/>
    <col min="6" max="6" width="26.28515625" customWidth="1"/>
  </cols>
  <sheetData>
    <row r="1" spans="1:6" ht="15.75" customHeight="1" x14ac:dyDescent="0.2">
      <c r="A1" s="1"/>
      <c r="B1" s="2" t="s">
        <v>0</v>
      </c>
      <c r="C1" s="2" t="s">
        <v>1</v>
      </c>
      <c r="D1" s="3" t="s">
        <v>2</v>
      </c>
      <c r="E1" s="2" t="s">
        <v>3</v>
      </c>
      <c r="F1" s="2" t="s">
        <v>4</v>
      </c>
    </row>
    <row r="2" spans="1:6" ht="23.25" customHeight="1" x14ac:dyDescent="0.2">
      <c r="A2" s="4" t="s">
        <v>5</v>
      </c>
      <c r="B2" s="5">
        <f>SUM(E10:E982)</f>
        <v>28650</v>
      </c>
      <c r="C2" s="5">
        <f>B2*E2</f>
        <v>0</v>
      </c>
      <c r="D2" s="5">
        <f>C2+E4+E5</f>
        <v>0</v>
      </c>
      <c r="E2" s="6"/>
      <c r="F2" s="7">
        <f>B986/B2</f>
        <v>0</v>
      </c>
    </row>
    <row r="3" spans="1:6" ht="101.25" customHeight="1" x14ac:dyDescent="0.2">
      <c r="A3" s="110" t="s">
        <v>6</v>
      </c>
      <c r="B3" s="111">
        <f>D2</f>
        <v>0</v>
      </c>
      <c r="C3" s="112">
        <v>1</v>
      </c>
      <c r="D3" s="94"/>
      <c r="E3" s="113"/>
      <c r="F3" s="8" t="s">
        <v>7</v>
      </c>
    </row>
    <row r="4" spans="1:6" ht="15.75" customHeight="1" x14ac:dyDescent="0.2">
      <c r="A4" s="77"/>
      <c r="B4" s="77"/>
      <c r="C4" s="9"/>
      <c r="D4" s="15" t="s">
        <v>8</v>
      </c>
      <c r="E4" s="11">
        <f>(C2+E5)*0.087</f>
        <v>0</v>
      </c>
      <c r="F4" s="12">
        <f>B984-(SUM(E959,E904,E895,E861,E845,E841,E837,E835,E830,E826,E822,E818,E759,E740,E736,E732,E730,E725,E721,E717,E713,E654,E639,E637,E635,E633,E617,E613,E609,E605,E601,E597,E521,E344,E340,E338,E336,E334,E330,E283,E279,E273,E269,E265,E259,E255,E251,E247,E243,E237,E235,E227,E225,E223,E221,E219,E217,E215,E231))</f>
        <v>0</v>
      </c>
    </row>
    <row r="5" spans="1:6" ht="15.75" customHeight="1" x14ac:dyDescent="0.2">
      <c r="A5" s="77"/>
      <c r="B5" s="77"/>
      <c r="C5" s="13"/>
      <c r="D5" s="14" t="s">
        <v>9</v>
      </c>
      <c r="E5" s="11"/>
      <c r="F5" s="8" t="s">
        <v>10</v>
      </c>
    </row>
    <row r="6" spans="1:6" ht="45" customHeight="1" x14ac:dyDescent="0.2">
      <c r="A6" s="78"/>
      <c r="B6" s="78"/>
      <c r="C6" s="15">
        <f>E2*SUM(E970:E1016)</f>
        <v>0</v>
      </c>
      <c r="D6" s="15" t="s">
        <v>11</v>
      </c>
      <c r="E6" s="15">
        <f>C6*0.087</f>
        <v>0</v>
      </c>
      <c r="F6" s="12">
        <f>F4-(F4*B985)</f>
        <v>0</v>
      </c>
    </row>
    <row r="7" spans="1:6" ht="1.5" customHeight="1" x14ac:dyDescent="0.2">
      <c r="A7" s="140">
        <v>1</v>
      </c>
      <c r="B7" s="85"/>
      <c r="C7" s="85"/>
      <c r="D7" s="85"/>
      <c r="E7" s="85"/>
      <c r="F7" s="55"/>
    </row>
    <row r="8" spans="1:6" ht="11.25" customHeight="1" x14ac:dyDescent="0.2">
      <c r="A8" s="132" t="s">
        <v>12</v>
      </c>
      <c r="B8" s="85"/>
      <c r="C8" s="85"/>
      <c r="D8" s="85"/>
      <c r="E8" s="85"/>
      <c r="F8" s="17"/>
    </row>
    <row r="9" spans="1:6" ht="22.5" customHeight="1" x14ac:dyDescent="0.2">
      <c r="A9" s="86" t="s">
        <v>13</v>
      </c>
      <c r="B9" s="87"/>
      <c r="C9" s="87"/>
      <c r="D9" s="88"/>
      <c r="E9" s="18"/>
      <c r="F9" s="18">
        <f>SUM(E10:E15)</f>
        <v>9450</v>
      </c>
    </row>
    <row r="10" spans="1:6" outlineLevel="1" x14ac:dyDescent="0.2">
      <c r="A10" s="56" t="s">
        <v>14</v>
      </c>
      <c r="B10" s="79">
        <v>5000</v>
      </c>
      <c r="C10" s="79" t="s">
        <v>15</v>
      </c>
      <c r="D10" s="83">
        <v>1</v>
      </c>
      <c r="E10" s="103">
        <f>B10*D10</f>
        <v>5000</v>
      </c>
      <c r="F10" s="109" t="s">
        <v>16</v>
      </c>
    </row>
    <row r="11" spans="1:6" ht="12.75" outlineLevel="1" x14ac:dyDescent="0.2">
      <c r="A11" s="57" t="s">
        <v>17</v>
      </c>
      <c r="B11" s="80"/>
      <c r="C11" s="80"/>
      <c r="D11" s="80"/>
      <c r="E11" s="82"/>
      <c r="F11" s="78"/>
    </row>
    <row r="12" spans="1:6" outlineLevel="2" x14ac:dyDescent="0.2">
      <c r="A12" s="56" t="s">
        <v>18</v>
      </c>
      <c r="B12" s="79">
        <v>450</v>
      </c>
      <c r="C12" s="79" t="s">
        <v>15</v>
      </c>
      <c r="D12" s="83">
        <v>1</v>
      </c>
      <c r="E12" s="103">
        <f>B12*D12</f>
        <v>450</v>
      </c>
      <c r="F12" s="58"/>
    </row>
    <row r="13" spans="1:6" ht="12.75" outlineLevel="2" x14ac:dyDescent="0.2">
      <c r="A13" s="57" t="s">
        <v>19</v>
      </c>
      <c r="B13" s="80"/>
      <c r="C13" s="80"/>
      <c r="D13" s="80"/>
      <c r="E13" s="82"/>
      <c r="F13" s="58"/>
    </row>
    <row r="14" spans="1:6" outlineLevel="1" x14ac:dyDescent="0.2">
      <c r="A14" s="56" t="s">
        <v>20</v>
      </c>
      <c r="B14" s="116">
        <v>4000</v>
      </c>
      <c r="C14" s="79" t="s">
        <v>15</v>
      </c>
      <c r="D14" s="83">
        <v>1</v>
      </c>
      <c r="E14" s="81">
        <f>B14*D14</f>
        <v>4000</v>
      </c>
      <c r="F14" s="115" t="s">
        <v>21</v>
      </c>
    </row>
    <row r="15" spans="1:6" ht="48" outlineLevel="1" x14ac:dyDescent="0.2">
      <c r="A15" s="57" t="s">
        <v>22</v>
      </c>
      <c r="B15" s="80"/>
      <c r="C15" s="80"/>
      <c r="D15" s="80"/>
      <c r="E15" s="82"/>
      <c r="F15" s="78"/>
    </row>
    <row r="16" spans="1:6" outlineLevel="1" x14ac:dyDescent="0.2">
      <c r="A16" s="56" t="s">
        <v>23</v>
      </c>
      <c r="B16" s="79">
        <v>0</v>
      </c>
      <c r="C16" s="79" t="s">
        <v>15</v>
      </c>
      <c r="D16" s="83">
        <v>1</v>
      </c>
      <c r="E16" s="81"/>
      <c r="F16" s="131"/>
    </row>
    <row r="17" spans="1:6" ht="48" outlineLevel="1" x14ac:dyDescent="0.2">
      <c r="A17" s="57" t="s">
        <v>24</v>
      </c>
      <c r="B17" s="80"/>
      <c r="C17" s="80"/>
      <c r="D17" s="80"/>
      <c r="E17" s="82"/>
      <c r="F17" s="78"/>
    </row>
    <row r="18" spans="1:6" ht="11.25" customHeight="1" x14ac:dyDescent="0.2">
      <c r="A18" s="132" t="s">
        <v>12</v>
      </c>
      <c r="B18" s="85"/>
      <c r="C18" s="85"/>
      <c r="D18" s="85"/>
      <c r="E18" s="85"/>
      <c r="F18" s="17"/>
    </row>
    <row r="19" spans="1:6" ht="22.5" customHeight="1" x14ac:dyDescent="0.2">
      <c r="A19" s="86" t="s">
        <v>25</v>
      </c>
      <c r="B19" s="87"/>
      <c r="C19" s="87"/>
      <c r="D19" s="88"/>
      <c r="E19" s="26"/>
      <c r="F19" s="27">
        <f>SUM(E20:E25,E30:E45)</f>
        <v>2600</v>
      </c>
    </row>
    <row r="20" spans="1:6" ht="22.5" customHeight="1" outlineLevel="2" x14ac:dyDescent="0.2">
      <c r="A20" s="56" t="s">
        <v>26</v>
      </c>
      <c r="B20" s="79">
        <v>1200</v>
      </c>
      <c r="C20" s="79" t="s">
        <v>15</v>
      </c>
      <c r="D20" s="83"/>
      <c r="E20" s="103">
        <f>B20*D20</f>
        <v>0</v>
      </c>
      <c r="F20" s="138" t="s">
        <v>27</v>
      </c>
    </row>
    <row r="21" spans="1:6" ht="15.75" customHeight="1" outlineLevel="2" x14ac:dyDescent="0.2">
      <c r="A21" s="57" t="s">
        <v>28</v>
      </c>
      <c r="B21" s="80"/>
      <c r="C21" s="80"/>
      <c r="D21" s="80"/>
      <c r="E21" s="82"/>
      <c r="F21" s="82"/>
    </row>
    <row r="22" spans="1:6" ht="22.5" customHeight="1" outlineLevel="2" x14ac:dyDescent="0.2">
      <c r="A22" s="56" t="s">
        <v>29</v>
      </c>
      <c r="B22" s="79">
        <v>1000</v>
      </c>
      <c r="C22" s="79" t="s">
        <v>15</v>
      </c>
      <c r="D22" s="83"/>
      <c r="E22" s="103">
        <f>B22*D22</f>
        <v>0</v>
      </c>
      <c r="F22" s="138" t="s">
        <v>27</v>
      </c>
    </row>
    <row r="23" spans="1:6" ht="15.75" customHeight="1" outlineLevel="2" x14ac:dyDescent="0.2">
      <c r="A23" s="57" t="s">
        <v>30</v>
      </c>
      <c r="B23" s="80"/>
      <c r="C23" s="80"/>
      <c r="D23" s="80"/>
      <c r="E23" s="82"/>
      <c r="F23" s="82"/>
    </row>
    <row r="24" spans="1:6" ht="22.5" customHeight="1" outlineLevel="2" x14ac:dyDescent="0.2">
      <c r="A24" s="56" t="s">
        <v>31</v>
      </c>
      <c r="B24" s="106" t="s">
        <v>32</v>
      </c>
      <c r="C24" s="79" t="s">
        <v>15</v>
      </c>
      <c r="D24" s="83"/>
      <c r="E24" s="103">
        <f>SUM(F26:F29)</f>
        <v>1400</v>
      </c>
      <c r="F24" s="139" t="s">
        <v>33</v>
      </c>
    </row>
    <row r="25" spans="1:6" ht="15.75" customHeight="1" outlineLevel="2" x14ac:dyDescent="0.2">
      <c r="A25" s="60" t="s">
        <v>34</v>
      </c>
      <c r="B25" s="107"/>
      <c r="C25" s="80"/>
      <c r="D25" s="80"/>
      <c r="E25" s="82"/>
      <c r="F25" s="82"/>
    </row>
    <row r="26" spans="1:6" ht="15.75" customHeight="1" outlineLevel="3" x14ac:dyDescent="0.2">
      <c r="A26" s="60" t="s">
        <v>35</v>
      </c>
      <c r="B26" s="20">
        <v>70</v>
      </c>
      <c r="C26" s="20" t="s">
        <v>36</v>
      </c>
      <c r="D26" s="29">
        <v>20</v>
      </c>
      <c r="E26" s="21"/>
      <c r="F26" s="30">
        <f t="shared" ref="F26:F29" si="0">B26*D26</f>
        <v>1400</v>
      </c>
    </row>
    <row r="27" spans="1:6" ht="15.75" customHeight="1" outlineLevel="3" x14ac:dyDescent="0.2">
      <c r="A27" s="60" t="s">
        <v>37</v>
      </c>
      <c r="B27" s="20">
        <v>10</v>
      </c>
      <c r="C27" s="20" t="s">
        <v>38</v>
      </c>
      <c r="D27" s="29"/>
      <c r="E27" s="21"/>
      <c r="F27" s="30">
        <f t="shared" si="0"/>
        <v>0</v>
      </c>
    </row>
    <row r="28" spans="1:6" ht="15.75" customHeight="1" outlineLevel="3" x14ac:dyDescent="0.2">
      <c r="A28" s="60" t="s">
        <v>39</v>
      </c>
      <c r="B28" s="20">
        <v>10</v>
      </c>
      <c r="C28" s="20" t="s">
        <v>38</v>
      </c>
      <c r="D28" s="29"/>
      <c r="E28" s="21"/>
      <c r="F28" s="30">
        <f t="shared" si="0"/>
        <v>0</v>
      </c>
    </row>
    <row r="29" spans="1:6" ht="15.75" customHeight="1" outlineLevel="3" x14ac:dyDescent="0.2">
      <c r="A29" s="57" t="s">
        <v>40</v>
      </c>
      <c r="B29" s="20">
        <v>40</v>
      </c>
      <c r="C29" s="20" t="s">
        <v>38</v>
      </c>
      <c r="D29" s="29"/>
      <c r="E29" s="21"/>
      <c r="F29" s="30">
        <f t="shared" si="0"/>
        <v>0</v>
      </c>
    </row>
    <row r="30" spans="1:6" ht="22.5" customHeight="1" outlineLevel="2" x14ac:dyDescent="0.2">
      <c r="A30" s="56" t="s">
        <v>41</v>
      </c>
      <c r="B30" s="79">
        <v>6</v>
      </c>
      <c r="C30" s="79" t="s">
        <v>38</v>
      </c>
      <c r="D30" s="83">
        <v>200</v>
      </c>
      <c r="E30" s="103">
        <f>B30*D30</f>
        <v>1200</v>
      </c>
      <c r="F30" s="55"/>
    </row>
    <row r="31" spans="1:6" ht="15.75" customHeight="1" outlineLevel="2" x14ac:dyDescent="0.2">
      <c r="A31" s="57" t="s">
        <v>42</v>
      </c>
      <c r="B31" s="80"/>
      <c r="C31" s="80"/>
      <c r="D31" s="80"/>
      <c r="E31" s="82"/>
      <c r="F31" s="55"/>
    </row>
    <row r="32" spans="1:6" ht="22.5" customHeight="1" outlineLevel="2" x14ac:dyDescent="0.2">
      <c r="A32" s="56" t="s">
        <v>43</v>
      </c>
      <c r="B32" s="79">
        <v>0.5</v>
      </c>
      <c r="C32" s="79" t="s">
        <v>38</v>
      </c>
      <c r="D32" s="83"/>
      <c r="E32" s="103">
        <f>B32*D32</f>
        <v>0</v>
      </c>
      <c r="F32" s="55"/>
    </row>
    <row r="33" spans="1:6" ht="15.75" customHeight="1" outlineLevel="2" x14ac:dyDescent="0.2">
      <c r="A33" s="57" t="s">
        <v>44</v>
      </c>
      <c r="B33" s="80"/>
      <c r="C33" s="80"/>
      <c r="D33" s="80"/>
      <c r="E33" s="82"/>
      <c r="F33" s="55"/>
    </row>
    <row r="34" spans="1:6" ht="22.5" customHeight="1" outlineLevel="2" x14ac:dyDescent="0.2">
      <c r="A34" s="56" t="s">
        <v>45</v>
      </c>
      <c r="B34" s="79">
        <v>2.5</v>
      </c>
      <c r="C34" s="101" t="s">
        <v>38</v>
      </c>
      <c r="D34" s="83"/>
      <c r="E34" s="103">
        <f>B34*D34</f>
        <v>0</v>
      </c>
      <c r="F34" s="55"/>
    </row>
    <row r="35" spans="1:6" ht="15.75" customHeight="1" outlineLevel="2" x14ac:dyDescent="0.2">
      <c r="A35" s="57" t="s">
        <v>46</v>
      </c>
      <c r="B35" s="80"/>
      <c r="C35" s="102"/>
      <c r="D35" s="80"/>
      <c r="E35" s="82"/>
      <c r="F35" s="55"/>
    </row>
    <row r="36" spans="1:6" ht="22.5" customHeight="1" outlineLevel="2" x14ac:dyDescent="0.2">
      <c r="A36" s="56" t="s">
        <v>47</v>
      </c>
      <c r="B36" s="79">
        <v>2</v>
      </c>
      <c r="C36" s="101" t="s">
        <v>38</v>
      </c>
      <c r="D36" s="83"/>
      <c r="E36" s="103">
        <f>B36*D36</f>
        <v>0</v>
      </c>
      <c r="F36" s="55"/>
    </row>
    <row r="37" spans="1:6" ht="15.75" customHeight="1" outlineLevel="2" x14ac:dyDescent="0.2">
      <c r="A37" s="57" t="s">
        <v>44</v>
      </c>
      <c r="B37" s="80"/>
      <c r="C37" s="102"/>
      <c r="D37" s="80"/>
      <c r="E37" s="82"/>
      <c r="F37" s="55"/>
    </row>
    <row r="38" spans="1:6" ht="22.5" customHeight="1" outlineLevel="2" x14ac:dyDescent="0.2">
      <c r="A38" s="56" t="s">
        <v>48</v>
      </c>
      <c r="B38" s="79">
        <v>1.5</v>
      </c>
      <c r="C38" s="101" t="s">
        <v>38</v>
      </c>
      <c r="D38" s="83"/>
      <c r="E38" s="103">
        <f>B38*D38</f>
        <v>0</v>
      </c>
      <c r="F38" s="55"/>
    </row>
    <row r="39" spans="1:6" ht="15.75" customHeight="1" outlineLevel="2" x14ac:dyDescent="0.2">
      <c r="A39" s="57" t="s">
        <v>49</v>
      </c>
      <c r="B39" s="80"/>
      <c r="C39" s="102"/>
      <c r="D39" s="80"/>
      <c r="E39" s="82"/>
      <c r="F39" s="55"/>
    </row>
    <row r="40" spans="1:6" ht="22.5" customHeight="1" outlineLevel="2" x14ac:dyDescent="0.2">
      <c r="A40" s="56" t="s">
        <v>50</v>
      </c>
      <c r="B40" s="79">
        <v>6</v>
      </c>
      <c r="C40" s="101" t="s">
        <v>38</v>
      </c>
      <c r="D40" s="83"/>
      <c r="E40" s="103">
        <f>B40*D40</f>
        <v>0</v>
      </c>
      <c r="F40" s="55"/>
    </row>
    <row r="41" spans="1:6" ht="15.75" customHeight="1" outlineLevel="2" x14ac:dyDescent="0.2">
      <c r="A41" s="57" t="s">
        <v>51</v>
      </c>
      <c r="B41" s="80"/>
      <c r="C41" s="102"/>
      <c r="D41" s="80"/>
      <c r="E41" s="82"/>
      <c r="F41" s="55"/>
    </row>
    <row r="42" spans="1:6" ht="22.5" customHeight="1" outlineLevel="2" x14ac:dyDescent="0.2">
      <c r="A42" s="56" t="s">
        <v>52</v>
      </c>
      <c r="B42" s="79">
        <v>3500</v>
      </c>
      <c r="C42" s="101" t="s">
        <v>15</v>
      </c>
      <c r="D42" s="83"/>
      <c r="E42" s="103">
        <f>B42*D42</f>
        <v>0</v>
      </c>
      <c r="F42" s="55"/>
    </row>
    <row r="43" spans="1:6" ht="15.75" customHeight="1" outlineLevel="2" x14ac:dyDescent="0.2">
      <c r="A43" s="57" t="s">
        <v>53</v>
      </c>
      <c r="B43" s="80"/>
      <c r="C43" s="102"/>
      <c r="D43" s="80"/>
      <c r="E43" s="82"/>
      <c r="F43" s="55"/>
    </row>
    <row r="44" spans="1:6" ht="22.5" hidden="1" customHeight="1" outlineLevel="1" x14ac:dyDescent="0.2">
      <c r="A44" s="56" t="s">
        <v>54</v>
      </c>
      <c r="B44" s="79">
        <v>1200</v>
      </c>
      <c r="C44" s="101" t="s">
        <v>15</v>
      </c>
      <c r="D44" s="83"/>
      <c r="E44" s="103">
        <f>B44*D44</f>
        <v>0</v>
      </c>
      <c r="F44" s="137" t="s">
        <v>55</v>
      </c>
    </row>
    <row r="45" spans="1:6" ht="15.75" hidden="1" customHeight="1" outlineLevel="1" x14ac:dyDescent="0.2">
      <c r="A45" s="57" t="s">
        <v>56</v>
      </c>
      <c r="B45" s="80"/>
      <c r="C45" s="102"/>
      <c r="D45" s="80"/>
      <c r="E45" s="82"/>
      <c r="F45" s="82"/>
    </row>
    <row r="46" spans="1:6" ht="11.25" customHeight="1" x14ac:dyDescent="0.2">
      <c r="A46" s="132" t="s">
        <v>12</v>
      </c>
      <c r="B46" s="85"/>
      <c r="C46" s="85"/>
      <c r="D46" s="85"/>
      <c r="E46" s="85"/>
      <c r="F46" s="17"/>
    </row>
    <row r="47" spans="1:6" ht="22.5" customHeight="1" x14ac:dyDescent="0.2">
      <c r="A47" s="86" t="s">
        <v>57</v>
      </c>
      <c r="B47" s="87"/>
      <c r="C47" s="87"/>
      <c r="D47" s="88"/>
      <c r="E47" s="31"/>
      <c r="F47" s="27">
        <f>SUM(E48:E59)</f>
        <v>10600</v>
      </c>
    </row>
    <row r="48" spans="1:6" ht="22.5" customHeight="1" outlineLevel="1" x14ac:dyDescent="0.2">
      <c r="A48" s="56" t="s">
        <v>58</v>
      </c>
      <c r="B48" s="79">
        <v>1</v>
      </c>
      <c r="C48" s="79" t="s">
        <v>59</v>
      </c>
      <c r="D48" s="83">
        <v>200</v>
      </c>
      <c r="E48" s="81">
        <f>B48*D48</f>
        <v>200</v>
      </c>
      <c r="F48" s="61" t="s">
        <v>60</v>
      </c>
    </row>
    <row r="49" spans="1:6" ht="15.75" customHeight="1" outlineLevel="1" x14ac:dyDescent="0.2">
      <c r="A49" s="57" t="s">
        <v>61</v>
      </c>
      <c r="B49" s="80"/>
      <c r="C49" s="80"/>
      <c r="D49" s="80"/>
      <c r="E49" s="82"/>
      <c r="F49" s="131" t="s">
        <v>62</v>
      </c>
    </row>
    <row r="50" spans="1:6" ht="22.5" customHeight="1" outlineLevel="1" x14ac:dyDescent="0.2">
      <c r="A50" s="56" t="s">
        <v>63</v>
      </c>
      <c r="B50" s="79">
        <v>20</v>
      </c>
      <c r="C50" s="79" t="s">
        <v>59</v>
      </c>
      <c r="D50" s="83">
        <v>200</v>
      </c>
      <c r="E50" s="81">
        <f>B50*D50</f>
        <v>4000</v>
      </c>
      <c r="F50" s="77"/>
    </row>
    <row r="51" spans="1:6" ht="15.75" customHeight="1" outlineLevel="1" x14ac:dyDescent="0.2">
      <c r="A51" s="57" t="s">
        <v>64</v>
      </c>
      <c r="B51" s="80"/>
      <c r="C51" s="80"/>
      <c r="D51" s="80"/>
      <c r="E51" s="82"/>
      <c r="F51" s="78"/>
    </row>
    <row r="52" spans="1:6" ht="22.5" customHeight="1" outlineLevel="2" x14ac:dyDescent="0.2">
      <c r="A52" s="62" t="s">
        <v>65</v>
      </c>
      <c r="B52" s="79">
        <v>50</v>
      </c>
      <c r="C52" s="79" t="s">
        <v>36</v>
      </c>
      <c r="D52" s="83">
        <v>40</v>
      </c>
      <c r="E52" s="90">
        <f>B52*D52</f>
        <v>2000</v>
      </c>
      <c r="F52" s="109" t="s">
        <v>66</v>
      </c>
    </row>
    <row r="53" spans="1:6" ht="15.75" customHeight="1" outlineLevel="2" x14ac:dyDescent="0.2">
      <c r="A53" s="63" t="s">
        <v>67</v>
      </c>
      <c r="B53" s="80"/>
      <c r="C53" s="80"/>
      <c r="D53" s="80"/>
      <c r="E53" s="78"/>
      <c r="F53" s="77"/>
    </row>
    <row r="54" spans="1:6" ht="22.5" customHeight="1" outlineLevel="2" x14ac:dyDescent="0.2">
      <c r="A54" s="62" t="s">
        <v>68</v>
      </c>
      <c r="B54" s="79">
        <v>400</v>
      </c>
      <c r="C54" s="79" t="s">
        <v>15</v>
      </c>
      <c r="D54" s="83">
        <v>11</v>
      </c>
      <c r="E54" s="90">
        <f>B54*D54</f>
        <v>4400</v>
      </c>
      <c r="F54" s="77"/>
    </row>
    <row r="55" spans="1:6" ht="15.75" customHeight="1" outlineLevel="2" x14ac:dyDescent="0.2">
      <c r="A55" s="63" t="s">
        <v>69</v>
      </c>
      <c r="B55" s="80"/>
      <c r="C55" s="80"/>
      <c r="D55" s="80"/>
      <c r="E55" s="78"/>
      <c r="F55" s="78"/>
    </row>
    <row r="56" spans="1:6" ht="22.5" customHeight="1" outlineLevel="2" x14ac:dyDescent="0.2">
      <c r="A56" s="62" t="s">
        <v>70</v>
      </c>
      <c r="B56" s="79">
        <v>50</v>
      </c>
      <c r="C56" s="79" t="s">
        <v>36</v>
      </c>
      <c r="D56" s="83"/>
      <c r="E56" s="90">
        <f>B56*D56</f>
        <v>0</v>
      </c>
      <c r="F56" s="61" t="s">
        <v>71</v>
      </c>
    </row>
    <row r="57" spans="1:6" ht="15.75" customHeight="1" outlineLevel="2" x14ac:dyDescent="0.2">
      <c r="A57" s="63" t="s">
        <v>72</v>
      </c>
      <c r="B57" s="80"/>
      <c r="C57" s="80"/>
      <c r="D57" s="80"/>
      <c r="E57" s="78"/>
      <c r="F57" s="61"/>
    </row>
    <row r="58" spans="1:6" ht="22.5" customHeight="1" outlineLevel="2" x14ac:dyDescent="0.2">
      <c r="A58" s="62" t="s">
        <v>73</v>
      </c>
      <c r="B58" s="79">
        <v>200</v>
      </c>
      <c r="C58" s="79" t="s">
        <v>36</v>
      </c>
      <c r="D58" s="83"/>
      <c r="E58" s="90">
        <f>B58*D58</f>
        <v>0</v>
      </c>
      <c r="F58" s="61" t="s">
        <v>74</v>
      </c>
    </row>
    <row r="59" spans="1:6" ht="15.75" customHeight="1" outlineLevel="2" x14ac:dyDescent="0.2">
      <c r="A59" s="63" t="s">
        <v>75</v>
      </c>
      <c r="B59" s="80"/>
      <c r="C59" s="80"/>
      <c r="D59" s="80"/>
      <c r="E59" s="78"/>
      <c r="F59" s="59"/>
    </row>
    <row r="60" spans="1:6" ht="11.25" customHeight="1" x14ac:dyDescent="0.2">
      <c r="A60" s="132" t="s">
        <v>12</v>
      </c>
      <c r="B60" s="85"/>
      <c r="C60" s="85"/>
      <c r="D60" s="85"/>
      <c r="E60" s="85"/>
      <c r="F60" s="17"/>
    </row>
    <row r="61" spans="1:6" ht="22.5" customHeight="1" x14ac:dyDescent="0.2">
      <c r="A61" s="86" t="s">
        <v>76</v>
      </c>
      <c r="B61" s="87"/>
      <c r="C61" s="87"/>
      <c r="D61" s="88"/>
      <c r="E61" s="31"/>
      <c r="F61" s="27">
        <f>SUM(E62:E77)</f>
        <v>0</v>
      </c>
    </row>
    <row r="62" spans="1:6" ht="22.5" customHeight="1" outlineLevel="1" x14ac:dyDescent="0.2">
      <c r="A62" s="56" t="s">
        <v>77</v>
      </c>
      <c r="B62" s="79">
        <v>12</v>
      </c>
      <c r="C62" s="79" t="s">
        <v>59</v>
      </c>
      <c r="D62" s="83"/>
      <c r="E62" s="81">
        <f>B62*D62</f>
        <v>0</v>
      </c>
      <c r="F62" s="61"/>
    </row>
    <row r="63" spans="1:6" ht="15.75" customHeight="1" outlineLevel="1" x14ac:dyDescent="0.2">
      <c r="A63" s="57" t="s">
        <v>78</v>
      </c>
      <c r="B63" s="80"/>
      <c r="C63" s="80"/>
      <c r="D63" s="80"/>
      <c r="E63" s="82"/>
      <c r="F63" s="61"/>
    </row>
    <row r="64" spans="1:6" ht="22.5" customHeight="1" outlineLevel="2" x14ac:dyDescent="0.2">
      <c r="A64" s="62" t="s">
        <v>79</v>
      </c>
      <c r="B64" s="79">
        <v>19</v>
      </c>
      <c r="C64" s="79" t="s">
        <v>59</v>
      </c>
      <c r="D64" s="83"/>
      <c r="E64" s="90">
        <f>B64*D64</f>
        <v>0</v>
      </c>
      <c r="F64" s="61"/>
    </row>
    <row r="65" spans="1:6" ht="15.75" customHeight="1" outlineLevel="2" x14ac:dyDescent="0.2">
      <c r="A65" s="63" t="s">
        <v>80</v>
      </c>
      <c r="B65" s="80"/>
      <c r="C65" s="80"/>
      <c r="D65" s="80"/>
      <c r="E65" s="78"/>
      <c r="F65" s="61"/>
    </row>
    <row r="66" spans="1:6" ht="22.5" customHeight="1" outlineLevel="2" x14ac:dyDescent="0.2">
      <c r="A66" s="62" t="s">
        <v>81</v>
      </c>
      <c r="B66" s="79">
        <v>12</v>
      </c>
      <c r="C66" s="79" t="s">
        <v>59</v>
      </c>
      <c r="D66" s="83"/>
      <c r="E66" s="90">
        <f>B66*D66</f>
        <v>0</v>
      </c>
      <c r="F66" s="61"/>
    </row>
    <row r="67" spans="1:6" ht="15.75" customHeight="1" outlineLevel="2" x14ac:dyDescent="0.2">
      <c r="A67" s="63" t="s">
        <v>82</v>
      </c>
      <c r="B67" s="80"/>
      <c r="C67" s="80"/>
      <c r="D67" s="80"/>
      <c r="E67" s="78"/>
      <c r="F67" s="61"/>
    </row>
    <row r="68" spans="1:6" ht="22.5" customHeight="1" outlineLevel="2" x14ac:dyDescent="0.2">
      <c r="A68" s="62" t="s">
        <v>83</v>
      </c>
      <c r="B68" s="79">
        <v>3000</v>
      </c>
      <c r="C68" s="79" t="s">
        <v>15</v>
      </c>
      <c r="D68" s="83"/>
      <c r="E68" s="90">
        <f>B68*D68</f>
        <v>0</v>
      </c>
      <c r="F68" s="61"/>
    </row>
    <row r="69" spans="1:6" ht="15.75" customHeight="1" outlineLevel="2" x14ac:dyDescent="0.2">
      <c r="A69" s="63" t="s">
        <v>84</v>
      </c>
      <c r="B69" s="80"/>
      <c r="C69" s="80"/>
      <c r="D69" s="80"/>
      <c r="E69" s="78"/>
      <c r="F69" s="61"/>
    </row>
    <row r="70" spans="1:6" ht="22.5" customHeight="1" outlineLevel="2" x14ac:dyDescent="0.2">
      <c r="A70" s="62" t="s">
        <v>85</v>
      </c>
      <c r="B70" s="79">
        <v>1800</v>
      </c>
      <c r="C70" s="79" t="s">
        <v>15</v>
      </c>
      <c r="D70" s="83"/>
      <c r="E70" s="90">
        <f>B70*D70</f>
        <v>0</v>
      </c>
      <c r="F70" s="61"/>
    </row>
    <row r="71" spans="1:6" ht="15.75" customHeight="1" outlineLevel="2" x14ac:dyDescent="0.2">
      <c r="A71" s="63" t="s">
        <v>86</v>
      </c>
      <c r="B71" s="80"/>
      <c r="C71" s="80"/>
      <c r="D71" s="80"/>
      <c r="E71" s="78"/>
      <c r="F71" s="61"/>
    </row>
    <row r="72" spans="1:6" ht="22.5" customHeight="1" outlineLevel="2" x14ac:dyDescent="0.2">
      <c r="A72" s="62" t="s">
        <v>87</v>
      </c>
      <c r="B72" s="79">
        <v>1000</v>
      </c>
      <c r="C72" s="79" t="s">
        <v>15</v>
      </c>
      <c r="D72" s="83"/>
      <c r="E72" s="90">
        <f>B72*D72</f>
        <v>0</v>
      </c>
      <c r="F72" s="109" t="s">
        <v>88</v>
      </c>
    </row>
    <row r="73" spans="1:6" ht="15.75" customHeight="1" outlineLevel="2" x14ac:dyDescent="0.2">
      <c r="A73" s="63" t="s">
        <v>89</v>
      </c>
      <c r="B73" s="80"/>
      <c r="C73" s="80"/>
      <c r="D73" s="80"/>
      <c r="E73" s="78"/>
      <c r="F73" s="77"/>
    </row>
    <row r="74" spans="1:6" ht="22.5" customHeight="1" outlineLevel="2" x14ac:dyDescent="0.2">
      <c r="A74" s="62" t="s">
        <v>90</v>
      </c>
      <c r="B74" s="79">
        <v>1000</v>
      </c>
      <c r="C74" s="79" t="s">
        <v>15</v>
      </c>
      <c r="D74" s="83"/>
      <c r="E74" s="90">
        <f>B74*D74</f>
        <v>0</v>
      </c>
      <c r="F74" s="77"/>
    </row>
    <row r="75" spans="1:6" ht="15.75" customHeight="1" outlineLevel="2" x14ac:dyDescent="0.2">
      <c r="A75" s="63" t="s">
        <v>91</v>
      </c>
      <c r="B75" s="80"/>
      <c r="C75" s="80"/>
      <c r="D75" s="80"/>
      <c r="E75" s="78"/>
      <c r="F75" s="78"/>
    </row>
    <row r="76" spans="1:6" ht="22.5" customHeight="1" outlineLevel="2" x14ac:dyDescent="0.2">
      <c r="A76" s="62" t="s">
        <v>92</v>
      </c>
      <c r="B76" s="79">
        <v>1300</v>
      </c>
      <c r="C76" s="79" t="s">
        <v>15</v>
      </c>
      <c r="D76" s="83"/>
      <c r="E76" s="90">
        <f>B76*D76</f>
        <v>0</v>
      </c>
      <c r="F76" s="61"/>
    </row>
    <row r="77" spans="1:6" ht="15.75" customHeight="1" outlineLevel="2" x14ac:dyDescent="0.2">
      <c r="A77" s="63" t="s">
        <v>93</v>
      </c>
      <c r="B77" s="80"/>
      <c r="C77" s="80"/>
      <c r="D77" s="80"/>
      <c r="E77" s="78"/>
      <c r="F77" s="59"/>
    </row>
    <row r="78" spans="1:6" ht="11.25" customHeight="1" x14ac:dyDescent="0.2">
      <c r="A78" s="132" t="s">
        <v>12</v>
      </c>
      <c r="B78" s="85"/>
      <c r="C78" s="85"/>
      <c r="D78" s="85"/>
      <c r="E78" s="85"/>
      <c r="F78" s="17"/>
    </row>
    <row r="79" spans="1:6" ht="22.5" customHeight="1" x14ac:dyDescent="0.2">
      <c r="A79" s="86" t="s">
        <v>94</v>
      </c>
      <c r="B79" s="87"/>
      <c r="C79" s="87"/>
      <c r="D79" s="88"/>
      <c r="E79" s="31"/>
      <c r="F79" s="27">
        <f>SUM(E80:E95)</f>
        <v>6000</v>
      </c>
    </row>
    <row r="80" spans="1:6" ht="22.5" customHeight="1" outlineLevel="1" x14ac:dyDescent="0.2">
      <c r="A80" s="56" t="s">
        <v>95</v>
      </c>
      <c r="B80" s="79">
        <v>16</v>
      </c>
      <c r="C80" s="79" t="s">
        <v>59</v>
      </c>
      <c r="D80" s="83">
        <v>200</v>
      </c>
      <c r="E80" s="81">
        <f>B80*D80</f>
        <v>3200</v>
      </c>
      <c r="F80" s="61"/>
    </row>
    <row r="81" spans="1:6" ht="15.75" customHeight="1" outlineLevel="1" x14ac:dyDescent="0.2">
      <c r="A81" s="57" t="s">
        <v>96</v>
      </c>
      <c r="B81" s="80"/>
      <c r="C81" s="80"/>
      <c r="D81" s="80"/>
      <c r="E81" s="82"/>
      <c r="F81" s="61"/>
    </row>
    <row r="82" spans="1:6" ht="22.5" customHeight="1" outlineLevel="2" x14ac:dyDescent="0.2">
      <c r="A82" s="56" t="s">
        <v>97</v>
      </c>
      <c r="B82" s="79">
        <v>20</v>
      </c>
      <c r="C82" s="79" t="s">
        <v>59</v>
      </c>
      <c r="D82" s="83"/>
      <c r="E82" s="81">
        <f>B82*D82</f>
        <v>0</v>
      </c>
      <c r="F82" s="109" t="s">
        <v>98</v>
      </c>
    </row>
    <row r="83" spans="1:6" ht="15.75" customHeight="1" outlineLevel="2" x14ac:dyDescent="0.2">
      <c r="A83" s="57" t="s">
        <v>99</v>
      </c>
      <c r="B83" s="80"/>
      <c r="C83" s="80"/>
      <c r="D83" s="80"/>
      <c r="E83" s="82"/>
      <c r="F83" s="78"/>
    </row>
    <row r="84" spans="1:6" ht="22.5" customHeight="1" outlineLevel="1" x14ac:dyDescent="0.2">
      <c r="A84" s="56" t="s">
        <v>100</v>
      </c>
      <c r="B84" s="79">
        <v>14</v>
      </c>
      <c r="C84" s="79" t="s">
        <v>59</v>
      </c>
      <c r="D84" s="83">
        <f>D80</f>
        <v>200</v>
      </c>
      <c r="E84" s="81">
        <f>B84*D84</f>
        <v>2800</v>
      </c>
      <c r="F84" s="61"/>
    </row>
    <row r="85" spans="1:6" ht="15.75" customHeight="1" outlineLevel="1" x14ac:dyDescent="0.2">
      <c r="A85" s="57" t="s">
        <v>101</v>
      </c>
      <c r="B85" s="80"/>
      <c r="C85" s="80"/>
      <c r="D85" s="80"/>
      <c r="E85" s="82"/>
      <c r="F85" s="61"/>
    </row>
    <row r="86" spans="1:6" ht="22.5" customHeight="1" outlineLevel="2" x14ac:dyDescent="0.2">
      <c r="A86" s="56" t="s">
        <v>102</v>
      </c>
      <c r="B86" s="79">
        <v>16</v>
      </c>
      <c r="C86" s="79" t="s">
        <v>59</v>
      </c>
      <c r="D86" s="83">
        <f>D82</f>
        <v>0</v>
      </c>
      <c r="E86" s="81">
        <f>B86*D86</f>
        <v>0</v>
      </c>
      <c r="F86" s="109" t="s">
        <v>98</v>
      </c>
    </row>
    <row r="87" spans="1:6" ht="15.75" customHeight="1" outlineLevel="2" x14ac:dyDescent="0.2">
      <c r="A87" s="57" t="s">
        <v>103</v>
      </c>
      <c r="B87" s="80"/>
      <c r="C87" s="80"/>
      <c r="D87" s="80"/>
      <c r="E87" s="82"/>
      <c r="F87" s="78"/>
    </row>
    <row r="88" spans="1:6" ht="22.5" customHeight="1" outlineLevel="2" x14ac:dyDescent="0.2">
      <c r="A88" s="56" t="s">
        <v>104</v>
      </c>
      <c r="B88" s="79">
        <v>10</v>
      </c>
      <c r="C88" s="79" t="s">
        <v>59</v>
      </c>
      <c r="D88" s="83"/>
      <c r="E88" s="81">
        <f>B88*D88</f>
        <v>0</v>
      </c>
      <c r="F88" s="109" t="s">
        <v>105</v>
      </c>
    </row>
    <row r="89" spans="1:6" ht="15.75" customHeight="1" outlineLevel="2" x14ac:dyDescent="0.2">
      <c r="A89" s="57" t="s">
        <v>106</v>
      </c>
      <c r="B89" s="80"/>
      <c r="C89" s="80"/>
      <c r="D89" s="80"/>
      <c r="E89" s="82"/>
      <c r="F89" s="77"/>
    </row>
    <row r="90" spans="1:6" ht="22.5" customHeight="1" outlineLevel="2" x14ac:dyDescent="0.2">
      <c r="A90" s="56" t="s">
        <v>107</v>
      </c>
      <c r="B90" s="79">
        <v>7</v>
      </c>
      <c r="C90" s="79" t="s">
        <v>59</v>
      </c>
      <c r="D90" s="83"/>
      <c r="E90" s="81">
        <f>B90*D90</f>
        <v>0</v>
      </c>
      <c r="F90" s="77"/>
    </row>
    <row r="91" spans="1:6" ht="15.75" customHeight="1" outlineLevel="2" x14ac:dyDescent="0.2">
      <c r="A91" s="57" t="s">
        <v>108</v>
      </c>
      <c r="B91" s="80"/>
      <c r="C91" s="80"/>
      <c r="D91" s="80"/>
      <c r="E91" s="82"/>
      <c r="F91" s="78"/>
    </row>
    <row r="92" spans="1:6" ht="22.5" customHeight="1" outlineLevel="1" x14ac:dyDescent="0.2">
      <c r="A92" s="56" t="s">
        <v>109</v>
      </c>
      <c r="B92" s="79">
        <v>5</v>
      </c>
      <c r="C92" s="79" t="s">
        <v>59</v>
      </c>
      <c r="D92" s="83"/>
      <c r="E92" s="81">
        <f>B92*D92</f>
        <v>0</v>
      </c>
      <c r="F92" s="61"/>
    </row>
    <row r="93" spans="1:6" ht="15.75" customHeight="1" outlineLevel="1" x14ac:dyDescent="0.2">
      <c r="A93" s="57" t="s">
        <v>110</v>
      </c>
      <c r="B93" s="80"/>
      <c r="C93" s="80"/>
      <c r="D93" s="80"/>
      <c r="E93" s="82"/>
      <c r="F93" s="61"/>
    </row>
    <row r="94" spans="1:6" ht="22.5" customHeight="1" outlineLevel="2" x14ac:dyDescent="0.2">
      <c r="A94" s="56" t="s">
        <v>111</v>
      </c>
      <c r="B94" s="79">
        <v>38</v>
      </c>
      <c r="C94" s="79" t="s">
        <v>59</v>
      </c>
      <c r="D94" s="83"/>
      <c r="E94" s="81">
        <f>B94*D94</f>
        <v>0</v>
      </c>
      <c r="F94" s="109" t="s">
        <v>112</v>
      </c>
    </row>
    <row r="95" spans="1:6" ht="15.75" customHeight="1" outlineLevel="2" x14ac:dyDescent="0.2">
      <c r="A95" s="57" t="s">
        <v>113</v>
      </c>
      <c r="B95" s="80"/>
      <c r="C95" s="80"/>
      <c r="D95" s="80"/>
      <c r="E95" s="82"/>
      <c r="F95" s="78"/>
    </row>
    <row r="96" spans="1:6" ht="11.25" customHeight="1" x14ac:dyDescent="0.2">
      <c r="A96" s="132" t="s">
        <v>12</v>
      </c>
      <c r="B96" s="85"/>
      <c r="C96" s="85"/>
      <c r="D96" s="85"/>
      <c r="E96" s="85"/>
      <c r="F96" s="17"/>
    </row>
    <row r="97" spans="1:6" ht="25.5" customHeight="1" x14ac:dyDescent="0.2">
      <c r="A97" s="86" t="s">
        <v>114</v>
      </c>
      <c r="B97" s="87"/>
      <c r="C97" s="87"/>
      <c r="D97" s="88"/>
      <c r="E97" s="31"/>
      <c r="F97" s="27">
        <f>SUM(E98:E123)</f>
        <v>0</v>
      </c>
    </row>
    <row r="98" spans="1:6" ht="22.5" customHeight="1" outlineLevel="1" x14ac:dyDescent="0.2">
      <c r="A98" s="62" t="s">
        <v>115</v>
      </c>
      <c r="B98" s="79">
        <v>3500</v>
      </c>
      <c r="C98" s="79" t="s">
        <v>15</v>
      </c>
      <c r="D98" s="83"/>
      <c r="E98" s="81">
        <f>B98*D98</f>
        <v>0</v>
      </c>
      <c r="F98" s="61"/>
    </row>
    <row r="99" spans="1:6" ht="15.75" customHeight="1" outlineLevel="1" x14ac:dyDescent="0.2">
      <c r="A99" s="63" t="s">
        <v>116</v>
      </c>
      <c r="B99" s="80"/>
      <c r="C99" s="80"/>
      <c r="D99" s="80"/>
      <c r="E99" s="82"/>
      <c r="F99" s="61"/>
    </row>
    <row r="100" spans="1:6" ht="22.5" customHeight="1" outlineLevel="1" x14ac:dyDescent="0.2">
      <c r="A100" s="62" t="s">
        <v>117</v>
      </c>
      <c r="B100" s="79">
        <v>1000</v>
      </c>
      <c r="C100" s="79" t="s">
        <v>15</v>
      </c>
      <c r="D100" s="83"/>
      <c r="E100" s="81">
        <f>B100*D100</f>
        <v>0</v>
      </c>
      <c r="F100" s="61"/>
    </row>
    <row r="101" spans="1:6" ht="15.75" customHeight="1" outlineLevel="1" x14ac:dyDescent="0.2">
      <c r="A101" s="63" t="s">
        <v>118</v>
      </c>
      <c r="B101" s="80"/>
      <c r="C101" s="80"/>
      <c r="D101" s="80"/>
      <c r="E101" s="82"/>
      <c r="F101" s="61"/>
    </row>
    <row r="102" spans="1:6" ht="22.5" customHeight="1" outlineLevel="1" x14ac:dyDescent="0.2">
      <c r="A102" s="62" t="s">
        <v>119</v>
      </c>
      <c r="B102" s="79">
        <v>1500</v>
      </c>
      <c r="C102" s="79" t="s">
        <v>15</v>
      </c>
      <c r="D102" s="83"/>
      <c r="E102" s="81">
        <f>B102*D102</f>
        <v>0</v>
      </c>
      <c r="F102" s="61"/>
    </row>
    <row r="103" spans="1:6" ht="15.75" customHeight="1" outlineLevel="1" x14ac:dyDescent="0.2">
      <c r="A103" s="63" t="s">
        <v>120</v>
      </c>
      <c r="B103" s="80"/>
      <c r="C103" s="80"/>
      <c r="D103" s="80"/>
      <c r="E103" s="82"/>
      <c r="F103" s="61"/>
    </row>
    <row r="104" spans="1:6" ht="22.5" customHeight="1" outlineLevel="1" x14ac:dyDescent="0.2">
      <c r="A104" s="62" t="s">
        <v>121</v>
      </c>
      <c r="B104" s="79">
        <v>1700</v>
      </c>
      <c r="C104" s="79" t="s">
        <v>15</v>
      </c>
      <c r="D104" s="83"/>
      <c r="E104" s="81">
        <f>B104*D104</f>
        <v>0</v>
      </c>
      <c r="F104" s="61"/>
    </row>
    <row r="105" spans="1:6" ht="15.75" customHeight="1" outlineLevel="1" x14ac:dyDescent="0.2">
      <c r="A105" s="63" t="s">
        <v>122</v>
      </c>
      <c r="B105" s="80"/>
      <c r="C105" s="80"/>
      <c r="D105" s="80"/>
      <c r="E105" s="82"/>
      <c r="F105" s="61"/>
    </row>
    <row r="106" spans="1:6" ht="22.5" customHeight="1" outlineLevel="1" x14ac:dyDescent="0.2">
      <c r="A106" s="62" t="s">
        <v>123</v>
      </c>
      <c r="B106" s="79">
        <v>100</v>
      </c>
      <c r="C106" s="79" t="s">
        <v>36</v>
      </c>
      <c r="D106" s="83"/>
      <c r="E106" s="81">
        <f>B106*D106</f>
        <v>0</v>
      </c>
      <c r="F106" s="131" t="s">
        <v>124</v>
      </c>
    </row>
    <row r="107" spans="1:6" ht="15.75" customHeight="1" outlineLevel="1" x14ac:dyDescent="0.2">
      <c r="A107" s="63" t="s">
        <v>125</v>
      </c>
      <c r="B107" s="80"/>
      <c r="C107" s="80"/>
      <c r="D107" s="80"/>
      <c r="E107" s="82"/>
      <c r="F107" s="78"/>
    </row>
    <row r="108" spans="1:6" ht="22.5" customHeight="1" outlineLevel="1" x14ac:dyDescent="0.2">
      <c r="A108" s="62" t="s">
        <v>126</v>
      </c>
      <c r="B108" s="79">
        <v>110</v>
      </c>
      <c r="C108" s="79" t="s">
        <v>36</v>
      </c>
      <c r="D108" s="83"/>
      <c r="E108" s="81">
        <f>B108*D108</f>
        <v>0</v>
      </c>
      <c r="F108" s="131" t="s">
        <v>127</v>
      </c>
    </row>
    <row r="109" spans="1:6" ht="15.75" customHeight="1" outlineLevel="1" x14ac:dyDescent="0.2">
      <c r="A109" s="63" t="s">
        <v>128</v>
      </c>
      <c r="B109" s="80"/>
      <c r="C109" s="80"/>
      <c r="D109" s="80"/>
      <c r="E109" s="82"/>
      <c r="F109" s="78"/>
    </row>
    <row r="110" spans="1:6" ht="22.5" customHeight="1" outlineLevel="1" x14ac:dyDescent="0.2">
      <c r="A110" s="62" t="s">
        <v>129</v>
      </c>
      <c r="B110" s="79">
        <v>300</v>
      </c>
      <c r="C110" s="79" t="s">
        <v>15</v>
      </c>
      <c r="D110" s="83"/>
      <c r="E110" s="81">
        <f>B110*D110</f>
        <v>0</v>
      </c>
      <c r="F110" s="61"/>
    </row>
    <row r="111" spans="1:6" ht="15.75" customHeight="1" outlineLevel="1" x14ac:dyDescent="0.2">
      <c r="A111" s="63" t="s">
        <v>130</v>
      </c>
      <c r="B111" s="80"/>
      <c r="C111" s="80"/>
      <c r="D111" s="80"/>
      <c r="E111" s="82"/>
      <c r="F111" s="61"/>
    </row>
    <row r="112" spans="1:6" ht="22.5" customHeight="1" outlineLevel="1" x14ac:dyDescent="0.2">
      <c r="A112" s="62" t="s">
        <v>131</v>
      </c>
      <c r="B112" s="79">
        <v>100</v>
      </c>
      <c r="C112" s="79" t="s">
        <v>36</v>
      </c>
      <c r="D112" s="83"/>
      <c r="E112" s="81">
        <f>B112*D112</f>
        <v>0</v>
      </c>
      <c r="F112" s="131" t="s">
        <v>132</v>
      </c>
    </row>
    <row r="113" spans="1:6" ht="15.75" customHeight="1" outlineLevel="1" x14ac:dyDescent="0.2">
      <c r="A113" s="63" t="s">
        <v>133</v>
      </c>
      <c r="B113" s="80"/>
      <c r="C113" s="80"/>
      <c r="D113" s="80"/>
      <c r="E113" s="82"/>
      <c r="F113" s="78"/>
    </row>
    <row r="114" spans="1:6" ht="22.5" customHeight="1" outlineLevel="1" x14ac:dyDescent="0.2">
      <c r="A114" s="62" t="s">
        <v>134</v>
      </c>
      <c r="B114" s="79">
        <v>600</v>
      </c>
      <c r="C114" s="79" t="s">
        <v>15</v>
      </c>
      <c r="D114" s="83"/>
      <c r="E114" s="81">
        <f>B114*D114</f>
        <v>0</v>
      </c>
      <c r="F114" s="109" t="s">
        <v>135</v>
      </c>
    </row>
    <row r="115" spans="1:6" ht="15.75" customHeight="1" outlineLevel="1" x14ac:dyDescent="0.2">
      <c r="A115" s="63" t="s">
        <v>136</v>
      </c>
      <c r="B115" s="80"/>
      <c r="C115" s="80"/>
      <c r="D115" s="80"/>
      <c r="E115" s="82"/>
      <c r="F115" s="78"/>
    </row>
    <row r="116" spans="1:6" ht="22.5" customHeight="1" outlineLevel="1" x14ac:dyDescent="0.2">
      <c r="A116" s="62" t="s">
        <v>137</v>
      </c>
      <c r="B116" s="79">
        <v>1500</v>
      </c>
      <c r="C116" s="79" t="s">
        <v>15</v>
      </c>
      <c r="D116" s="83"/>
      <c r="E116" s="81">
        <f>B116*D116</f>
        <v>0</v>
      </c>
      <c r="F116" s="109" t="s">
        <v>138</v>
      </c>
    </row>
    <row r="117" spans="1:6" ht="15.75" customHeight="1" outlineLevel="1" x14ac:dyDescent="0.2">
      <c r="A117" s="63" t="s">
        <v>139</v>
      </c>
      <c r="B117" s="80"/>
      <c r="C117" s="80"/>
      <c r="D117" s="80"/>
      <c r="E117" s="82"/>
      <c r="F117" s="78"/>
    </row>
    <row r="118" spans="1:6" ht="22.5" customHeight="1" outlineLevel="1" x14ac:dyDescent="0.2">
      <c r="A118" s="62" t="s">
        <v>140</v>
      </c>
      <c r="B118" s="79">
        <v>600</v>
      </c>
      <c r="C118" s="79" t="s">
        <v>15</v>
      </c>
      <c r="D118" s="83"/>
      <c r="E118" s="81">
        <f>B118*D118</f>
        <v>0</v>
      </c>
      <c r="F118" s="61"/>
    </row>
    <row r="119" spans="1:6" ht="15.75" customHeight="1" outlineLevel="1" x14ac:dyDescent="0.2">
      <c r="A119" s="63" t="s">
        <v>141</v>
      </c>
      <c r="B119" s="80"/>
      <c r="C119" s="80"/>
      <c r="D119" s="80"/>
      <c r="E119" s="82"/>
      <c r="F119" s="61"/>
    </row>
    <row r="120" spans="1:6" ht="22.5" customHeight="1" outlineLevel="1" x14ac:dyDescent="0.2">
      <c r="A120" s="62" t="s">
        <v>142</v>
      </c>
      <c r="B120" s="79">
        <v>300</v>
      </c>
      <c r="C120" s="79" t="s">
        <v>15</v>
      </c>
      <c r="D120" s="83"/>
      <c r="E120" s="81">
        <f>B120*D120</f>
        <v>0</v>
      </c>
      <c r="F120" s="109" t="s">
        <v>143</v>
      </c>
    </row>
    <row r="121" spans="1:6" ht="15.75" customHeight="1" outlineLevel="1" x14ac:dyDescent="0.2">
      <c r="A121" s="63" t="s">
        <v>144</v>
      </c>
      <c r="B121" s="80"/>
      <c r="C121" s="80"/>
      <c r="D121" s="80"/>
      <c r="E121" s="82"/>
      <c r="F121" s="78"/>
    </row>
    <row r="122" spans="1:6" ht="22.5" customHeight="1" outlineLevel="1" x14ac:dyDescent="0.2">
      <c r="A122" s="62" t="s">
        <v>145</v>
      </c>
      <c r="B122" s="79">
        <v>250</v>
      </c>
      <c r="C122" s="79" t="s">
        <v>15</v>
      </c>
      <c r="D122" s="83"/>
      <c r="E122" s="81">
        <f>B122*D122</f>
        <v>0</v>
      </c>
      <c r="F122" s="58"/>
    </row>
    <row r="123" spans="1:6" ht="15.75" customHeight="1" outlineLevel="1" x14ac:dyDescent="0.2">
      <c r="A123" s="63" t="s">
        <v>146</v>
      </c>
      <c r="B123" s="80"/>
      <c r="C123" s="80"/>
      <c r="D123" s="80"/>
      <c r="E123" s="82"/>
      <c r="F123" s="22"/>
    </row>
    <row r="124" spans="1:6" ht="11.25" customHeight="1" x14ac:dyDescent="0.2">
      <c r="A124" s="132" t="s">
        <v>12</v>
      </c>
      <c r="B124" s="85"/>
      <c r="C124" s="85"/>
      <c r="D124" s="85"/>
      <c r="E124" s="85"/>
      <c r="F124" s="17"/>
    </row>
    <row r="125" spans="1:6" ht="22.5" customHeight="1" collapsed="1" x14ac:dyDescent="0.2">
      <c r="A125" s="86" t="s">
        <v>147</v>
      </c>
      <c r="B125" s="87"/>
      <c r="C125" s="87"/>
      <c r="D125" s="88"/>
      <c r="E125" s="31"/>
      <c r="F125" s="27">
        <f>SUM(E126:E129)</f>
        <v>0</v>
      </c>
    </row>
    <row r="126" spans="1:6" ht="22.5" hidden="1" customHeight="1" outlineLevel="1" x14ac:dyDescent="0.2">
      <c r="A126" s="62" t="s">
        <v>148</v>
      </c>
      <c r="B126" s="79">
        <v>60</v>
      </c>
      <c r="C126" s="79" t="s">
        <v>36</v>
      </c>
      <c r="D126" s="83"/>
      <c r="E126" s="81">
        <f>B126*D126</f>
        <v>0</v>
      </c>
      <c r="F126" s="109" t="s">
        <v>149</v>
      </c>
    </row>
    <row r="127" spans="1:6" ht="15.75" hidden="1" customHeight="1" outlineLevel="1" x14ac:dyDescent="0.2">
      <c r="A127" s="63" t="s">
        <v>150</v>
      </c>
      <c r="B127" s="80"/>
      <c r="C127" s="80"/>
      <c r="D127" s="80"/>
      <c r="E127" s="82"/>
      <c r="F127" s="78"/>
    </row>
    <row r="128" spans="1:6" ht="22.5" hidden="1" customHeight="1" outlineLevel="1" x14ac:dyDescent="0.2">
      <c r="A128" s="62" t="s">
        <v>151</v>
      </c>
      <c r="B128" s="79">
        <v>60</v>
      </c>
      <c r="C128" s="79" t="s">
        <v>36</v>
      </c>
      <c r="D128" s="83"/>
      <c r="E128" s="81">
        <f>B128*D128</f>
        <v>0</v>
      </c>
      <c r="F128" s="109" t="s">
        <v>149</v>
      </c>
    </row>
    <row r="129" spans="1:6" ht="15.75" hidden="1" customHeight="1" outlineLevel="1" x14ac:dyDescent="0.2">
      <c r="A129" s="63" t="s">
        <v>152</v>
      </c>
      <c r="B129" s="80"/>
      <c r="C129" s="80"/>
      <c r="D129" s="80"/>
      <c r="E129" s="82"/>
      <c r="F129" s="78"/>
    </row>
    <row r="130" spans="1:6" ht="11.25" customHeight="1" x14ac:dyDescent="0.2">
      <c r="A130" s="132" t="s">
        <v>12</v>
      </c>
      <c r="B130" s="85"/>
      <c r="C130" s="85"/>
      <c r="D130" s="85"/>
      <c r="E130" s="85"/>
      <c r="F130" s="17"/>
    </row>
    <row r="131" spans="1:6" ht="22.5" customHeight="1" collapsed="1" x14ac:dyDescent="0.2">
      <c r="A131" s="86" t="s">
        <v>153</v>
      </c>
      <c r="B131" s="87"/>
      <c r="C131" s="87"/>
      <c r="D131" s="88"/>
      <c r="E131" s="31"/>
      <c r="F131" s="27">
        <f>SUM(E132:E143)</f>
        <v>0</v>
      </c>
    </row>
    <row r="132" spans="1:6" ht="22.5" hidden="1" customHeight="1" outlineLevel="1" x14ac:dyDescent="0.2">
      <c r="A132" s="56" t="s">
        <v>154</v>
      </c>
      <c r="B132" s="79">
        <v>5</v>
      </c>
      <c r="C132" s="79" t="s">
        <v>155</v>
      </c>
      <c r="D132" s="83"/>
      <c r="E132" s="103">
        <f>B132*D132</f>
        <v>0</v>
      </c>
      <c r="F132" s="135" t="s">
        <v>156</v>
      </c>
    </row>
    <row r="133" spans="1:6" ht="15.75" hidden="1" customHeight="1" outlineLevel="1" x14ac:dyDescent="0.2">
      <c r="A133" s="57" t="s">
        <v>157</v>
      </c>
      <c r="B133" s="80"/>
      <c r="C133" s="80"/>
      <c r="D133" s="80"/>
      <c r="E133" s="82"/>
      <c r="F133" s="78"/>
    </row>
    <row r="134" spans="1:6" ht="22.5" hidden="1" customHeight="1" outlineLevel="2" x14ac:dyDescent="0.2">
      <c r="A134" s="62" t="s">
        <v>158</v>
      </c>
      <c r="B134" s="79">
        <v>12</v>
      </c>
      <c r="C134" s="79" t="s">
        <v>155</v>
      </c>
      <c r="D134" s="83"/>
      <c r="E134" s="90">
        <f>B134*D134</f>
        <v>0</v>
      </c>
      <c r="F134" s="61"/>
    </row>
    <row r="135" spans="1:6" ht="15.75" hidden="1" customHeight="1" outlineLevel="2" x14ac:dyDescent="0.2">
      <c r="A135" s="63" t="s">
        <v>159</v>
      </c>
      <c r="B135" s="80"/>
      <c r="C135" s="80"/>
      <c r="D135" s="80"/>
      <c r="E135" s="78"/>
      <c r="F135" s="61"/>
    </row>
    <row r="136" spans="1:6" ht="22.5" hidden="1" customHeight="1" outlineLevel="2" x14ac:dyDescent="0.2">
      <c r="A136" s="62" t="s">
        <v>160</v>
      </c>
      <c r="B136" s="98"/>
      <c r="C136" s="79" t="s">
        <v>155</v>
      </c>
      <c r="D136" s="83"/>
      <c r="E136" s="90">
        <f>B136*D136</f>
        <v>0</v>
      </c>
      <c r="F136" s="136" t="s">
        <v>161</v>
      </c>
    </row>
    <row r="137" spans="1:6" ht="15.75" hidden="1" customHeight="1" outlineLevel="2" x14ac:dyDescent="0.2">
      <c r="A137" s="63" t="s">
        <v>162</v>
      </c>
      <c r="B137" s="80"/>
      <c r="C137" s="80"/>
      <c r="D137" s="80"/>
      <c r="E137" s="78"/>
      <c r="F137" s="78"/>
    </row>
    <row r="138" spans="1:6" ht="22.5" hidden="1" customHeight="1" outlineLevel="1" x14ac:dyDescent="0.2">
      <c r="A138" s="56" t="s">
        <v>163</v>
      </c>
      <c r="B138" s="79">
        <v>12</v>
      </c>
      <c r="C138" s="79" t="s">
        <v>36</v>
      </c>
      <c r="D138" s="83"/>
      <c r="E138" s="81">
        <f>B138*D138</f>
        <v>0</v>
      </c>
      <c r="F138" s="61"/>
    </row>
    <row r="139" spans="1:6" ht="15.75" hidden="1" customHeight="1" outlineLevel="1" x14ac:dyDescent="0.2">
      <c r="A139" s="57" t="s">
        <v>164</v>
      </c>
      <c r="B139" s="80"/>
      <c r="C139" s="80"/>
      <c r="D139" s="80"/>
      <c r="E139" s="82"/>
      <c r="F139" s="61"/>
    </row>
    <row r="140" spans="1:6" ht="22.5" hidden="1" customHeight="1" outlineLevel="1" x14ac:dyDescent="0.2">
      <c r="A140" s="56" t="s">
        <v>165</v>
      </c>
      <c r="B140" s="79">
        <v>50</v>
      </c>
      <c r="C140" s="79" t="s">
        <v>15</v>
      </c>
      <c r="D140" s="83"/>
      <c r="E140" s="81">
        <f>B140*D140</f>
        <v>0</v>
      </c>
      <c r="F140" s="131" t="s">
        <v>166</v>
      </c>
    </row>
    <row r="141" spans="1:6" ht="15.75" hidden="1" customHeight="1" outlineLevel="1" x14ac:dyDescent="0.2">
      <c r="A141" s="57" t="s">
        <v>167</v>
      </c>
      <c r="B141" s="80"/>
      <c r="C141" s="80"/>
      <c r="D141" s="80"/>
      <c r="E141" s="82"/>
      <c r="F141" s="78"/>
    </row>
    <row r="142" spans="1:6" ht="22.5" hidden="1" customHeight="1" outlineLevel="1" x14ac:dyDescent="0.2">
      <c r="A142" s="56" t="s">
        <v>168</v>
      </c>
      <c r="B142" s="79">
        <v>400</v>
      </c>
      <c r="C142" s="79" t="s">
        <v>15</v>
      </c>
      <c r="D142" s="83"/>
      <c r="E142" s="81">
        <f>B142*D142</f>
        <v>0</v>
      </c>
      <c r="F142" s="61"/>
    </row>
    <row r="143" spans="1:6" ht="15.75" hidden="1" customHeight="1" outlineLevel="1" x14ac:dyDescent="0.2">
      <c r="A143" s="57" t="s">
        <v>169</v>
      </c>
      <c r="B143" s="80"/>
      <c r="C143" s="80"/>
      <c r="D143" s="80"/>
      <c r="E143" s="82"/>
      <c r="F143" s="61"/>
    </row>
    <row r="144" spans="1:6" ht="11.25" customHeight="1" x14ac:dyDescent="0.2">
      <c r="A144" s="132" t="s">
        <v>12</v>
      </c>
      <c r="B144" s="85"/>
      <c r="C144" s="85"/>
      <c r="D144" s="85"/>
      <c r="E144" s="85"/>
      <c r="F144" s="17"/>
    </row>
    <row r="145" spans="1:6" ht="22.5" customHeight="1" collapsed="1" x14ac:dyDescent="0.2">
      <c r="A145" s="86" t="s">
        <v>170</v>
      </c>
      <c r="B145" s="87"/>
      <c r="C145" s="87"/>
      <c r="D145" s="88"/>
      <c r="E145" s="36"/>
      <c r="F145" s="37">
        <f>SUM(E146:E171)</f>
        <v>0</v>
      </c>
    </row>
    <row r="146" spans="1:6" ht="22.5" hidden="1" customHeight="1" outlineLevel="1" x14ac:dyDescent="0.2">
      <c r="A146" s="62" t="s">
        <v>171</v>
      </c>
      <c r="B146" s="79"/>
      <c r="C146" s="79" t="s">
        <v>15</v>
      </c>
      <c r="D146" s="83"/>
      <c r="E146" s="81">
        <f>B146*D146</f>
        <v>0</v>
      </c>
      <c r="F146" s="131" t="s">
        <v>172</v>
      </c>
    </row>
    <row r="147" spans="1:6" ht="15.75" hidden="1" customHeight="1" outlineLevel="1" x14ac:dyDescent="0.2">
      <c r="A147" s="63" t="s">
        <v>173</v>
      </c>
      <c r="B147" s="80"/>
      <c r="C147" s="80"/>
      <c r="D147" s="80"/>
      <c r="E147" s="82"/>
      <c r="F147" s="78"/>
    </row>
    <row r="148" spans="1:6" ht="22.5" hidden="1" customHeight="1" outlineLevel="2" x14ac:dyDescent="0.2">
      <c r="A148" s="62" t="s">
        <v>174</v>
      </c>
      <c r="B148" s="79">
        <v>1600</v>
      </c>
      <c r="C148" s="79" t="s">
        <v>15</v>
      </c>
      <c r="D148" s="83"/>
      <c r="E148" s="90">
        <f>B148*D148</f>
        <v>0</v>
      </c>
      <c r="F148" s="61"/>
    </row>
    <row r="149" spans="1:6" ht="15.75" hidden="1" customHeight="1" outlineLevel="2" x14ac:dyDescent="0.2">
      <c r="A149" s="63" t="s">
        <v>175</v>
      </c>
      <c r="B149" s="80"/>
      <c r="C149" s="80"/>
      <c r="D149" s="80"/>
      <c r="E149" s="78"/>
      <c r="F149" s="61"/>
    </row>
    <row r="150" spans="1:6" ht="22.5" hidden="1" customHeight="1" outlineLevel="1" x14ac:dyDescent="0.2">
      <c r="A150" s="62" t="s">
        <v>176</v>
      </c>
      <c r="B150" s="79">
        <v>2200</v>
      </c>
      <c r="C150" s="79" t="s">
        <v>15</v>
      </c>
      <c r="D150" s="83"/>
      <c r="E150" s="90">
        <f>B150*D150</f>
        <v>0</v>
      </c>
      <c r="F150" s="61"/>
    </row>
    <row r="151" spans="1:6" ht="15.75" hidden="1" customHeight="1" outlineLevel="1" x14ac:dyDescent="0.2">
      <c r="A151" s="63" t="s">
        <v>177</v>
      </c>
      <c r="B151" s="80"/>
      <c r="C151" s="80"/>
      <c r="D151" s="80"/>
      <c r="E151" s="78"/>
      <c r="F151" s="61"/>
    </row>
    <row r="152" spans="1:6" ht="22.5" hidden="1" customHeight="1" outlineLevel="1" x14ac:dyDescent="0.2">
      <c r="A152" s="62" t="s">
        <v>178</v>
      </c>
      <c r="B152" s="79">
        <v>1500</v>
      </c>
      <c r="C152" s="79" t="s">
        <v>15</v>
      </c>
      <c r="D152" s="83"/>
      <c r="E152" s="90">
        <f>B152*D152</f>
        <v>0</v>
      </c>
      <c r="F152" s="109" t="s">
        <v>179</v>
      </c>
    </row>
    <row r="153" spans="1:6" ht="15.75" hidden="1" customHeight="1" outlineLevel="1" x14ac:dyDescent="0.2">
      <c r="A153" s="63" t="s">
        <v>180</v>
      </c>
      <c r="B153" s="80"/>
      <c r="C153" s="80"/>
      <c r="D153" s="80"/>
      <c r="E153" s="78"/>
      <c r="F153" s="78"/>
    </row>
    <row r="154" spans="1:6" ht="22.5" hidden="1" customHeight="1" outlineLevel="1" x14ac:dyDescent="0.2">
      <c r="A154" s="62" t="s">
        <v>181</v>
      </c>
      <c r="B154" s="79">
        <v>1500</v>
      </c>
      <c r="C154" s="79" t="s">
        <v>15</v>
      </c>
      <c r="D154" s="83"/>
      <c r="E154" s="90">
        <f>B154*D154</f>
        <v>0</v>
      </c>
      <c r="F154" s="61"/>
    </row>
    <row r="155" spans="1:6" ht="15.75" hidden="1" customHeight="1" outlineLevel="1" x14ac:dyDescent="0.2">
      <c r="A155" s="63" t="s">
        <v>182</v>
      </c>
      <c r="B155" s="80"/>
      <c r="C155" s="80"/>
      <c r="D155" s="80"/>
      <c r="E155" s="78"/>
      <c r="F155" s="61"/>
    </row>
    <row r="156" spans="1:6" ht="22.5" hidden="1" customHeight="1" outlineLevel="1" x14ac:dyDescent="0.2">
      <c r="A156" s="62" t="s">
        <v>183</v>
      </c>
      <c r="B156" s="79">
        <v>3000</v>
      </c>
      <c r="C156" s="79" t="s">
        <v>15</v>
      </c>
      <c r="D156" s="83"/>
      <c r="E156" s="90">
        <f>B156*D156</f>
        <v>0</v>
      </c>
      <c r="F156" s="109" t="s">
        <v>179</v>
      </c>
    </row>
    <row r="157" spans="1:6" ht="15.75" hidden="1" customHeight="1" outlineLevel="1" x14ac:dyDescent="0.2">
      <c r="A157" s="63" t="s">
        <v>184</v>
      </c>
      <c r="B157" s="80"/>
      <c r="C157" s="80"/>
      <c r="D157" s="80"/>
      <c r="E157" s="78"/>
      <c r="F157" s="78"/>
    </row>
    <row r="158" spans="1:6" ht="22.5" hidden="1" customHeight="1" outlineLevel="1" x14ac:dyDescent="0.2">
      <c r="A158" s="62" t="s">
        <v>185</v>
      </c>
      <c r="B158" s="79">
        <v>3500</v>
      </c>
      <c r="C158" s="79" t="s">
        <v>15</v>
      </c>
      <c r="D158" s="83"/>
      <c r="E158" s="90">
        <f>B158*D158</f>
        <v>0</v>
      </c>
      <c r="F158" s="61"/>
    </row>
    <row r="159" spans="1:6" ht="15.75" hidden="1" customHeight="1" outlineLevel="1" x14ac:dyDescent="0.2">
      <c r="A159" s="63" t="s">
        <v>186</v>
      </c>
      <c r="B159" s="80"/>
      <c r="C159" s="80"/>
      <c r="D159" s="80"/>
      <c r="E159" s="78"/>
      <c r="F159" s="61"/>
    </row>
    <row r="160" spans="1:6" ht="22.5" hidden="1" customHeight="1" outlineLevel="1" x14ac:dyDescent="0.2">
      <c r="A160" s="62" t="s">
        <v>187</v>
      </c>
      <c r="B160" s="79">
        <v>3000</v>
      </c>
      <c r="C160" s="79" t="s">
        <v>15</v>
      </c>
      <c r="D160" s="83"/>
      <c r="E160" s="90">
        <f>B160*D160</f>
        <v>0</v>
      </c>
      <c r="F160" s="109" t="s">
        <v>179</v>
      </c>
    </row>
    <row r="161" spans="1:6" ht="15.75" hidden="1" customHeight="1" outlineLevel="1" x14ac:dyDescent="0.2">
      <c r="A161" s="63" t="s">
        <v>188</v>
      </c>
      <c r="B161" s="80"/>
      <c r="C161" s="80"/>
      <c r="D161" s="80"/>
      <c r="E161" s="78"/>
      <c r="F161" s="78"/>
    </row>
    <row r="162" spans="1:6" ht="22.5" hidden="1" customHeight="1" outlineLevel="1" x14ac:dyDescent="0.2">
      <c r="A162" s="62" t="s">
        <v>189</v>
      </c>
      <c r="B162" s="79">
        <v>4500</v>
      </c>
      <c r="C162" s="79" t="s">
        <v>15</v>
      </c>
      <c r="D162" s="83"/>
      <c r="E162" s="90">
        <f>B162*D162</f>
        <v>0</v>
      </c>
      <c r="F162" s="61"/>
    </row>
    <row r="163" spans="1:6" ht="15.75" hidden="1" customHeight="1" outlineLevel="1" x14ac:dyDescent="0.2">
      <c r="A163" s="63" t="s">
        <v>190</v>
      </c>
      <c r="B163" s="80"/>
      <c r="C163" s="80"/>
      <c r="D163" s="80"/>
      <c r="E163" s="78"/>
      <c r="F163" s="61"/>
    </row>
    <row r="164" spans="1:6" ht="22.5" hidden="1" customHeight="1" outlineLevel="1" x14ac:dyDescent="0.2">
      <c r="A164" s="62" t="s">
        <v>191</v>
      </c>
      <c r="B164" s="79">
        <v>250</v>
      </c>
      <c r="C164" s="79" t="s">
        <v>15</v>
      </c>
      <c r="D164" s="83"/>
      <c r="E164" s="90">
        <f>B164*D164</f>
        <v>0</v>
      </c>
      <c r="F164" s="61"/>
    </row>
    <row r="165" spans="1:6" ht="15.75" hidden="1" customHeight="1" outlineLevel="1" x14ac:dyDescent="0.2">
      <c r="A165" s="63" t="s">
        <v>192</v>
      </c>
      <c r="B165" s="80"/>
      <c r="C165" s="80"/>
      <c r="D165" s="80"/>
      <c r="E165" s="78"/>
      <c r="F165" s="61"/>
    </row>
    <row r="166" spans="1:6" ht="22.5" hidden="1" customHeight="1" outlineLevel="1" x14ac:dyDescent="0.2">
      <c r="A166" s="62" t="s">
        <v>193</v>
      </c>
      <c r="B166" s="79">
        <v>250</v>
      </c>
      <c r="C166" s="79" t="s">
        <v>15</v>
      </c>
      <c r="D166" s="83"/>
      <c r="E166" s="90">
        <f>B166*D166</f>
        <v>0</v>
      </c>
      <c r="F166" s="61"/>
    </row>
    <row r="167" spans="1:6" ht="15.75" hidden="1" customHeight="1" outlineLevel="1" x14ac:dyDescent="0.2">
      <c r="A167" s="63" t="s">
        <v>194</v>
      </c>
      <c r="B167" s="80"/>
      <c r="C167" s="80"/>
      <c r="D167" s="80"/>
      <c r="E167" s="78"/>
      <c r="F167" s="61"/>
    </row>
    <row r="168" spans="1:6" ht="22.5" hidden="1" customHeight="1" outlineLevel="1" x14ac:dyDescent="0.2">
      <c r="A168" s="62" t="s">
        <v>195</v>
      </c>
      <c r="B168" s="79">
        <v>250</v>
      </c>
      <c r="C168" s="79" t="s">
        <v>15</v>
      </c>
      <c r="D168" s="83"/>
      <c r="E168" s="90">
        <f>B168*D168</f>
        <v>0</v>
      </c>
      <c r="F168" s="61"/>
    </row>
    <row r="169" spans="1:6" ht="15.75" hidden="1" customHeight="1" outlineLevel="1" x14ac:dyDescent="0.2">
      <c r="A169" s="63" t="s">
        <v>196</v>
      </c>
      <c r="B169" s="80"/>
      <c r="C169" s="80"/>
      <c r="D169" s="80"/>
      <c r="E169" s="78"/>
      <c r="F169" s="61"/>
    </row>
    <row r="170" spans="1:6" ht="22.5" hidden="1" customHeight="1" outlineLevel="2" x14ac:dyDescent="0.2">
      <c r="A170" s="62" t="s">
        <v>197</v>
      </c>
      <c r="B170" s="79">
        <v>150</v>
      </c>
      <c r="C170" s="79" t="s">
        <v>15</v>
      </c>
      <c r="D170" s="83"/>
      <c r="E170" s="90">
        <f>B170*D170</f>
        <v>0</v>
      </c>
      <c r="F170" s="61"/>
    </row>
    <row r="171" spans="1:6" ht="15.75" hidden="1" customHeight="1" outlineLevel="2" x14ac:dyDescent="0.2">
      <c r="A171" s="63" t="s">
        <v>198</v>
      </c>
      <c r="B171" s="80"/>
      <c r="C171" s="80"/>
      <c r="D171" s="80"/>
      <c r="E171" s="78"/>
      <c r="F171" s="61"/>
    </row>
    <row r="172" spans="1:6" ht="11.25" customHeight="1" x14ac:dyDescent="0.2">
      <c r="A172" s="132" t="s">
        <v>12</v>
      </c>
      <c r="B172" s="85"/>
      <c r="C172" s="85"/>
      <c r="D172" s="85"/>
      <c r="E172" s="85"/>
      <c r="F172" s="17"/>
    </row>
    <row r="173" spans="1:6" ht="22.5" customHeight="1" collapsed="1" x14ac:dyDescent="0.2">
      <c r="A173" s="86" t="s">
        <v>199</v>
      </c>
      <c r="B173" s="87"/>
      <c r="C173" s="87"/>
      <c r="D173" s="88"/>
      <c r="E173" s="31"/>
      <c r="F173" s="27">
        <f>SUM(E174:E193)</f>
        <v>0</v>
      </c>
    </row>
    <row r="174" spans="1:6" ht="22.5" hidden="1" customHeight="1" outlineLevel="1" x14ac:dyDescent="0.2">
      <c r="A174" s="62" t="s">
        <v>200</v>
      </c>
      <c r="B174" s="79">
        <v>25</v>
      </c>
      <c r="C174" s="79" t="s">
        <v>36</v>
      </c>
      <c r="D174" s="83"/>
      <c r="E174" s="81">
        <f>B174*D174</f>
        <v>0</v>
      </c>
      <c r="F174" s="109" t="s">
        <v>815</v>
      </c>
    </row>
    <row r="175" spans="1:6" ht="15.75" hidden="1" customHeight="1" outlineLevel="1" x14ac:dyDescent="0.2">
      <c r="A175" s="63" t="s">
        <v>202</v>
      </c>
      <c r="B175" s="80"/>
      <c r="C175" s="80"/>
      <c r="D175" s="80"/>
      <c r="E175" s="82"/>
      <c r="F175" s="78"/>
    </row>
    <row r="176" spans="1:6" ht="22.5" hidden="1" customHeight="1" outlineLevel="1" x14ac:dyDescent="0.2">
      <c r="A176" s="62" t="s">
        <v>203</v>
      </c>
      <c r="B176" s="79">
        <v>15</v>
      </c>
      <c r="C176" s="79" t="s">
        <v>36</v>
      </c>
      <c r="D176" s="83"/>
      <c r="E176" s="90">
        <f>B176*D176</f>
        <v>0</v>
      </c>
      <c r="F176" s="58"/>
    </row>
    <row r="177" spans="1:6" ht="15.75" hidden="1" customHeight="1" outlineLevel="1" x14ac:dyDescent="0.2">
      <c r="A177" s="63" t="s">
        <v>202</v>
      </c>
      <c r="B177" s="80"/>
      <c r="C177" s="80"/>
      <c r="D177" s="80"/>
      <c r="E177" s="78"/>
      <c r="F177" s="58"/>
    </row>
    <row r="178" spans="1:6" ht="22.5" hidden="1" customHeight="1" outlineLevel="2" x14ac:dyDescent="0.2">
      <c r="A178" s="62" t="s">
        <v>204</v>
      </c>
      <c r="B178" s="79">
        <v>1500</v>
      </c>
      <c r="C178" s="79" t="s">
        <v>15</v>
      </c>
      <c r="D178" s="83"/>
      <c r="E178" s="90">
        <f>B178*D178</f>
        <v>0</v>
      </c>
      <c r="F178" s="61"/>
    </row>
    <row r="179" spans="1:6" ht="15.75" hidden="1" customHeight="1" outlineLevel="2" x14ac:dyDescent="0.2">
      <c r="A179" s="63" t="s">
        <v>205</v>
      </c>
      <c r="B179" s="80"/>
      <c r="C179" s="80"/>
      <c r="D179" s="80"/>
      <c r="E179" s="78"/>
      <c r="F179" s="61"/>
    </row>
    <row r="180" spans="1:6" ht="22.5" hidden="1" customHeight="1" outlineLevel="2" x14ac:dyDescent="0.2">
      <c r="A180" s="62" t="s">
        <v>206</v>
      </c>
      <c r="B180" s="79">
        <v>3500</v>
      </c>
      <c r="C180" s="79" t="s">
        <v>15</v>
      </c>
      <c r="D180" s="83"/>
      <c r="E180" s="90">
        <f>B180*D180</f>
        <v>0</v>
      </c>
      <c r="F180" s="61"/>
    </row>
    <row r="181" spans="1:6" ht="15.75" hidden="1" customHeight="1" outlineLevel="2" x14ac:dyDescent="0.2">
      <c r="A181" s="63" t="s">
        <v>207</v>
      </c>
      <c r="B181" s="80"/>
      <c r="C181" s="80"/>
      <c r="D181" s="80"/>
      <c r="E181" s="78"/>
      <c r="F181" s="61"/>
    </row>
    <row r="182" spans="1:6" ht="22.5" hidden="1" customHeight="1" outlineLevel="1" x14ac:dyDescent="0.2">
      <c r="A182" s="62" t="s">
        <v>208</v>
      </c>
      <c r="B182" s="79">
        <v>1500</v>
      </c>
      <c r="C182" s="79" t="s">
        <v>15</v>
      </c>
      <c r="D182" s="83"/>
      <c r="E182" s="90">
        <f>B182*D182</f>
        <v>0</v>
      </c>
      <c r="F182" s="61"/>
    </row>
    <row r="183" spans="1:6" ht="15.75" hidden="1" customHeight="1" outlineLevel="1" x14ac:dyDescent="0.2">
      <c r="A183" s="63" t="s">
        <v>209</v>
      </c>
      <c r="B183" s="80"/>
      <c r="C183" s="80"/>
      <c r="D183" s="80"/>
      <c r="E183" s="78"/>
      <c r="F183" s="61"/>
    </row>
    <row r="184" spans="1:6" ht="22.5" hidden="1" customHeight="1" outlineLevel="1" x14ac:dyDescent="0.2">
      <c r="A184" s="62" t="s">
        <v>210</v>
      </c>
      <c r="B184" s="79">
        <v>3500</v>
      </c>
      <c r="C184" s="79" t="s">
        <v>15</v>
      </c>
      <c r="D184" s="83"/>
      <c r="E184" s="90">
        <f>B184*D184</f>
        <v>0</v>
      </c>
      <c r="F184" s="61"/>
    </row>
    <row r="185" spans="1:6" ht="15.75" hidden="1" customHeight="1" outlineLevel="1" x14ac:dyDescent="0.2">
      <c r="A185" s="63" t="s">
        <v>211</v>
      </c>
      <c r="B185" s="80"/>
      <c r="C185" s="80"/>
      <c r="D185" s="80"/>
      <c r="E185" s="78"/>
      <c r="F185" s="61"/>
    </row>
    <row r="186" spans="1:6" ht="22.5" hidden="1" customHeight="1" outlineLevel="1" x14ac:dyDescent="0.2">
      <c r="A186" s="62" t="s">
        <v>212</v>
      </c>
      <c r="B186" s="79">
        <v>1500</v>
      </c>
      <c r="C186" s="79" t="s">
        <v>15</v>
      </c>
      <c r="D186" s="83"/>
      <c r="E186" s="90">
        <f>B186*D186</f>
        <v>0</v>
      </c>
      <c r="F186" s="61"/>
    </row>
    <row r="187" spans="1:6" ht="15.75" hidden="1" customHeight="1" outlineLevel="1" x14ac:dyDescent="0.2">
      <c r="A187" s="63" t="s">
        <v>213</v>
      </c>
      <c r="B187" s="80"/>
      <c r="C187" s="80"/>
      <c r="D187" s="80"/>
      <c r="E187" s="78"/>
      <c r="F187" s="61"/>
    </row>
    <row r="188" spans="1:6" ht="22.5" hidden="1" customHeight="1" outlineLevel="1" x14ac:dyDescent="0.2">
      <c r="A188" s="62" t="s">
        <v>214</v>
      </c>
      <c r="B188" s="79">
        <v>3500</v>
      </c>
      <c r="C188" s="79" t="s">
        <v>15</v>
      </c>
      <c r="D188" s="83"/>
      <c r="E188" s="90">
        <f>B188*D188</f>
        <v>0</v>
      </c>
      <c r="F188" s="61"/>
    </row>
    <row r="189" spans="1:6" ht="15.75" hidden="1" customHeight="1" outlineLevel="1" x14ac:dyDescent="0.2">
      <c r="A189" s="63" t="s">
        <v>215</v>
      </c>
      <c r="B189" s="80"/>
      <c r="C189" s="80"/>
      <c r="D189" s="80"/>
      <c r="E189" s="78"/>
      <c r="F189" s="61"/>
    </row>
    <row r="190" spans="1:6" ht="22.5" hidden="1" customHeight="1" outlineLevel="1" x14ac:dyDescent="0.2">
      <c r="A190" s="62" t="s">
        <v>216</v>
      </c>
      <c r="B190" s="79">
        <v>1500</v>
      </c>
      <c r="C190" s="79" t="s">
        <v>15</v>
      </c>
      <c r="D190" s="83"/>
      <c r="E190" s="90">
        <f>B190*D190</f>
        <v>0</v>
      </c>
      <c r="F190" s="61"/>
    </row>
    <row r="191" spans="1:6" ht="15.75" hidden="1" customHeight="1" outlineLevel="1" x14ac:dyDescent="0.2">
      <c r="A191" s="63" t="s">
        <v>217</v>
      </c>
      <c r="B191" s="80"/>
      <c r="C191" s="80"/>
      <c r="D191" s="80"/>
      <c r="E191" s="78"/>
      <c r="F191" s="61"/>
    </row>
    <row r="192" spans="1:6" ht="22.5" hidden="1" customHeight="1" outlineLevel="1" x14ac:dyDescent="0.2">
      <c r="A192" s="62" t="s">
        <v>218</v>
      </c>
      <c r="B192" s="79">
        <v>3500</v>
      </c>
      <c r="C192" s="79" t="s">
        <v>15</v>
      </c>
      <c r="D192" s="83"/>
      <c r="E192" s="90">
        <f>B192*D192</f>
        <v>0</v>
      </c>
      <c r="F192" s="61"/>
    </row>
    <row r="193" spans="1:6" ht="15.75" hidden="1" customHeight="1" outlineLevel="1" x14ac:dyDescent="0.2">
      <c r="A193" s="63" t="s">
        <v>219</v>
      </c>
      <c r="B193" s="80"/>
      <c r="C193" s="80"/>
      <c r="D193" s="80"/>
      <c r="E193" s="78"/>
      <c r="F193" s="61"/>
    </row>
    <row r="194" spans="1:6" ht="11.25" customHeight="1" x14ac:dyDescent="0.2">
      <c r="A194" s="132" t="s">
        <v>12</v>
      </c>
      <c r="B194" s="85"/>
      <c r="C194" s="85"/>
      <c r="D194" s="85"/>
      <c r="E194" s="85"/>
      <c r="F194" s="17"/>
    </row>
    <row r="195" spans="1:6" ht="22.5" customHeight="1" collapsed="1" x14ac:dyDescent="0.2">
      <c r="A195" s="86" t="s">
        <v>220</v>
      </c>
      <c r="B195" s="87"/>
      <c r="C195" s="87"/>
      <c r="D195" s="88"/>
      <c r="E195" s="36"/>
      <c r="F195" s="37">
        <f>SUM(E196:E211)+SUM(E213:E286)</f>
        <v>0</v>
      </c>
    </row>
    <row r="196" spans="1:6" ht="22.5" hidden="1" customHeight="1" outlineLevel="2" x14ac:dyDescent="0.2">
      <c r="A196" s="62" t="s">
        <v>221</v>
      </c>
      <c r="B196" s="79">
        <v>3000</v>
      </c>
      <c r="C196" s="79" t="s">
        <v>15</v>
      </c>
      <c r="D196" s="83"/>
      <c r="E196" s="81">
        <f>B196*D196</f>
        <v>0</v>
      </c>
      <c r="F196" s="61"/>
    </row>
    <row r="197" spans="1:6" ht="15.75" hidden="1" customHeight="1" outlineLevel="2" x14ac:dyDescent="0.2">
      <c r="A197" s="63" t="s">
        <v>222</v>
      </c>
      <c r="B197" s="80"/>
      <c r="C197" s="80"/>
      <c r="D197" s="80"/>
      <c r="E197" s="82"/>
      <c r="F197" s="61"/>
    </row>
    <row r="198" spans="1:6" ht="22.5" hidden="1" customHeight="1" outlineLevel="1" x14ac:dyDescent="0.2">
      <c r="A198" s="62" t="s">
        <v>223</v>
      </c>
      <c r="B198" s="79">
        <v>2200</v>
      </c>
      <c r="C198" s="79" t="s">
        <v>15</v>
      </c>
      <c r="D198" s="83"/>
      <c r="E198" s="90">
        <f>B198*D198</f>
        <v>0</v>
      </c>
      <c r="F198" s="61"/>
    </row>
    <row r="199" spans="1:6" ht="15.75" hidden="1" customHeight="1" outlineLevel="1" x14ac:dyDescent="0.2">
      <c r="A199" s="63" t="s">
        <v>224</v>
      </c>
      <c r="B199" s="80"/>
      <c r="C199" s="80"/>
      <c r="D199" s="80"/>
      <c r="E199" s="78"/>
      <c r="F199" s="61"/>
    </row>
    <row r="200" spans="1:6" ht="22.5" hidden="1" customHeight="1" outlineLevel="1" x14ac:dyDescent="0.2">
      <c r="A200" s="62" t="s">
        <v>225</v>
      </c>
      <c r="B200" s="79">
        <v>500</v>
      </c>
      <c r="C200" s="79" t="s">
        <v>15</v>
      </c>
      <c r="D200" s="83"/>
      <c r="E200" s="90">
        <f>B200*D200</f>
        <v>0</v>
      </c>
      <c r="F200" s="61"/>
    </row>
    <row r="201" spans="1:6" ht="15.75" hidden="1" customHeight="1" outlineLevel="1" x14ac:dyDescent="0.2">
      <c r="A201" s="63" t="s">
        <v>226</v>
      </c>
      <c r="B201" s="80"/>
      <c r="C201" s="80"/>
      <c r="D201" s="80"/>
      <c r="E201" s="78"/>
      <c r="F201" s="61"/>
    </row>
    <row r="202" spans="1:6" ht="22.5" hidden="1" customHeight="1" outlineLevel="2" x14ac:dyDescent="0.2">
      <c r="A202" s="62" t="s">
        <v>227</v>
      </c>
      <c r="B202" s="79">
        <v>500</v>
      </c>
      <c r="C202" s="79" t="s">
        <v>15</v>
      </c>
      <c r="D202" s="83"/>
      <c r="E202" s="90">
        <f>B202*D202</f>
        <v>0</v>
      </c>
      <c r="F202" s="109" t="s">
        <v>228</v>
      </c>
    </row>
    <row r="203" spans="1:6" ht="15.75" hidden="1" customHeight="1" outlineLevel="2" x14ac:dyDescent="0.2">
      <c r="A203" s="63" t="s">
        <v>229</v>
      </c>
      <c r="B203" s="80"/>
      <c r="C203" s="80"/>
      <c r="D203" s="80"/>
      <c r="E203" s="78"/>
      <c r="F203" s="78"/>
    </row>
    <row r="204" spans="1:6" ht="22.5" hidden="1" customHeight="1" outlineLevel="2" x14ac:dyDescent="0.2">
      <c r="A204" s="62" t="s">
        <v>230</v>
      </c>
      <c r="B204" s="79">
        <v>1200</v>
      </c>
      <c r="C204" s="79" t="s">
        <v>15</v>
      </c>
      <c r="D204" s="83"/>
      <c r="E204" s="90">
        <f>B204*D204</f>
        <v>0</v>
      </c>
      <c r="F204" s="61"/>
    </row>
    <row r="205" spans="1:6" ht="15.75" hidden="1" customHeight="1" outlineLevel="2" x14ac:dyDescent="0.2">
      <c r="A205" s="63" t="s">
        <v>231</v>
      </c>
      <c r="B205" s="80"/>
      <c r="C205" s="80"/>
      <c r="D205" s="80"/>
      <c r="E205" s="78"/>
      <c r="F205" s="61"/>
    </row>
    <row r="206" spans="1:6" ht="22.5" hidden="1" customHeight="1" outlineLevel="2" x14ac:dyDescent="0.2">
      <c r="A206" s="62" t="s">
        <v>232</v>
      </c>
      <c r="B206" s="79">
        <v>1500</v>
      </c>
      <c r="C206" s="79" t="s">
        <v>15</v>
      </c>
      <c r="D206" s="83"/>
      <c r="E206" s="90">
        <f>B206*D206</f>
        <v>0</v>
      </c>
      <c r="F206" s="61"/>
    </row>
    <row r="207" spans="1:6" ht="15.75" hidden="1" customHeight="1" outlineLevel="2" x14ac:dyDescent="0.2">
      <c r="A207" s="63" t="s">
        <v>233</v>
      </c>
      <c r="B207" s="80"/>
      <c r="C207" s="80"/>
      <c r="D207" s="80"/>
      <c r="E207" s="78"/>
      <c r="F207" s="61"/>
    </row>
    <row r="208" spans="1:6" ht="22.5" hidden="1" customHeight="1" outlineLevel="2" x14ac:dyDescent="0.2">
      <c r="A208" s="62" t="s">
        <v>234</v>
      </c>
      <c r="B208" s="79">
        <v>700</v>
      </c>
      <c r="C208" s="79" t="s">
        <v>15</v>
      </c>
      <c r="D208" s="83"/>
      <c r="E208" s="90">
        <f>B208*D208</f>
        <v>0</v>
      </c>
      <c r="F208" s="61"/>
    </row>
    <row r="209" spans="1:6" ht="15.75" hidden="1" customHeight="1" outlineLevel="2" x14ac:dyDescent="0.2">
      <c r="A209" s="63" t="s">
        <v>235</v>
      </c>
      <c r="B209" s="80"/>
      <c r="C209" s="80"/>
      <c r="D209" s="80"/>
      <c r="E209" s="78"/>
      <c r="F209" s="61"/>
    </row>
    <row r="210" spans="1:6" ht="22.5" hidden="1" customHeight="1" outlineLevel="1" x14ac:dyDescent="0.2">
      <c r="A210" s="62" t="s">
        <v>236</v>
      </c>
      <c r="B210" s="79">
        <v>700</v>
      </c>
      <c r="C210" s="79" t="s">
        <v>15</v>
      </c>
      <c r="D210" s="83"/>
      <c r="E210" s="81">
        <f>B210*D210</f>
        <v>0</v>
      </c>
      <c r="F210" s="109" t="s">
        <v>237</v>
      </c>
    </row>
    <row r="211" spans="1:6" ht="15.75" hidden="1" customHeight="1" outlineLevel="1" x14ac:dyDescent="0.2">
      <c r="A211" s="63" t="s">
        <v>238</v>
      </c>
      <c r="B211" s="80"/>
      <c r="C211" s="80"/>
      <c r="D211" s="80"/>
      <c r="E211" s="82"/>
      <c r="F211" s="78"/>
    </row>
    <row r="212" spans="1:6" ht="15.75" hidden="1" customHeight="1" outlineLevel="1" x14ac:dyDescent="0.2">
      <c r="A212" s="134" t="s">
        <v>816</v>
      </c>
      <c r="B212" s="94"/>
      <c r="C212" s="94"/>
      <c r="D212" s="94"/>
      <c r="E212" s="38"/>
      <c r="F212" s="61"/>
    </row>
    <row r="213" spans="1:6" ht="22.5" hidden="1" customHeight="1" outlineLevel="1" x14ac:dyDescent="0.2">
      <c r="A213" s="62" t="s">
        <v>240</v>
      </c>
      <c r="B213" s="79">
        <v>200</v>
      </c>
      <c r="C213" s="79" t="s">
        <v>15</v>
      </c>
      <c r="D213" s="83"/>
      <c r="E213" s="81">
        <f>B213*D213</f>
        <v>0</v>
      </c>
      <c r="F213" s="61"/>
    </row>
    <row r="214" spans="1:6" ht="15.75" hidden="1" customHeight="1" outlineLevel="1" x14ac:dyDescent="0.2">
      <c r="A214" s="63" t="s">
        <v>241</v>
      </c>
      <c r="B214" s="80"/>
      <c r="C214" s="80"/>
      <c r="D214" s="80"/>
      <c r="E214" s="82"/>
      <c r="F214" s="61"/>
    </row>
    <row r="215" spans="1:6" ht="22.5" hidden="1" customHeight="1" outlineLevel="2" x14ac:dyDescent="0.2">
      <c r="A215" s="62" t="s">
        <v>242</v>
      </c>
      <c r="B215" s="79">
        <v>245</v>
      </c>
      <c r="C215" s="79" t="s">
        <v>15</v>
      </c>
      <c r="D215" s="83"/>
      <c r="E215" s="81">
        <f>B215*D215</f>
        <v>0</v>
      </c>
      <c r="F215" s="61"/>
    </row>
    <row r="216" spans="1:6" ht="15.75" hidden="1" customHeight="1" outlineLevel="2" x14ac:dyDescent="0.2">
      <c r="A216" s="63" t="s">
        <v>243</v>
      </c>
      <c r="B216" s="80"/>
      <c r="C216" s="80"/>
      <c r="D216" s="80"/>
      <c r="E216" s="82"/>
      <c r="F216" s="61"/>
    </row>
    <row r="217" spans="1:6" ht="22.5" hidden="1" customHeight="1" outlineLevel="2" x14ac:dyDescent="0.2">
      <c r="A217" s="62" t="s">
        <v>244</v>
      </c>
      <c r="B217" s="79">
        <v>300</v>
      </c>
      <c r="C217" s="79" t="s">
        <v>15</v>
      </c>
      <c r="D217" s="83"/>
      <c r="E217" s="81">
        <f>B217*D217</f>
        <v>0</v>
      </c>
      <c r="F217" s="61"/>
    </row>
    <row r="218" spans="1:6" ht="15.75" hidden="1" customHeight="1" outlineLevel="2" x14ac:dyDescent="0.2">
      <c r="A218" s="63" t="s">
        <v>245</v>
      </c>
      <c r="B218" s="80"/>
      <c r="C218" s="80"/>
      <c r="D218" s="80"/>
      <c r="E218" s="82"/>
      <c r="F218" s="61"/>
    </row>
    <row r="219" spans="1:6" ht="22.5" hidden="1" customHeight="1" outlineLevel="2" x14ac:dyDescent="0.2">
      <c r="A219" s="62" t="s">
        <v>246</v>
      </c>
      <c r="B219" s="79">
        <v>55</v>
      </c>
      <c r="C219" s="79" t="s">
        <v>15</v>
      </c>
      <c r="D219" s="83"/>
      <c r="E219" s="81">
        <f>B219*D219</f>
        <v>0</v>
      </c>
      <c r="F219" s="61"/>
    </row>
    <row r="220" spans="1:6" ht="15.75" hidden="1" customHeight="1" outlineLevel="2" x14ac:dyDescent="0.2">
      <c r="A220" s="63" t="s">
        <v>247</v>
      </c>
      <c r="B220" s="80"/>
      <c r="C220" s="80"/>
      <c r="D220" s="80"/>
      <c r="E220" s="82"/>
      <c r="F220" s="61"/>
    </row>
    <row r="221" spans="1:6" ht="22.5" hidden="1" customHeight="1" outlineLevel="2" x14ac:dyDescent="0.2">
      <c r="A221" s="62" t="s">
        <v>248</v>
      </c>
      <c r="B221" s="79">
        <v>35</v>
      </c>
      <c r="C221" s="79" t="s">
        <v>15</v>
      </c>
      <c r="D221" s="83"/>
      <c r="E221" s="81">
        <f>B221*D221</f>
        <v>0</v>
      </c>
      <c r="F221" s="61"/>
    </row>
    <row r="222" spans="1:6" ht="15.75" hidden="1" customHeight="1" outlineLevel="2" x14ac:dyDescent="0.2">
      <c r="A222" s="63" t="s">
        <v>249</v>
      </c>
      <c r="B222" s="80"/>
      <c r="C222" s="80"/>
      <c r="D222" s="80"/>
      <c r="E222" s="82"/>
      <c r="F222" s="61"/>
    </row>
    <row r="223" spans="1:6" ht="22.5" hidden="1" customHeight="1" outlineLevel="2" x14ac:dyDescent="0.2">
      <c r="A223" s="62" t="s">
        <v>250</v>
      </c>
      <c r="B223" s="79">
        <v>30</v>
      </c>
      <c r="C223" s="79" t="s">
        <v>15</v>
      </c>
      <c r="D223" s="83"/>
      <c r="E223" s="81">
        <f>B223*D223</f>
        <v>0</v>
      </c>
      <c r="F223" s="61"/>
    </row>
    <row r="224" spans="1:6" ht="15.75" hidden="1" customHeight="1" outlineLevel="2" x14ac:dyDescent="0.2">
      <c r="A224" s="63" t="s">
        <v>251</v>
      </c>
      <c r="B224" s="80"/>
      <c r="C224" s="80"/>
      <c r="D224" s="80"/>
      <c r="E224" s="82"/>
      <c r="F224" s="61"/>
    </row>
    <row r="225" spans="1:6" ht="22.5" hidden="1" customHeight="1" outlineLevel="2" x14ac:dyDescent="0.2">
      <c r="A225" s="62" t="s">
        <v>252</v>
      </c>
      <c r="B225" s="79">
        <v>15</v>
      </c>
      <c r="C225" s="79" t="s">
        <v>15</v>
      </c>
      <c r="D225" s="83"/>
      <c r="E225" s="81">
        <f>B225*D225</f>
        <v>0</v>
      </c>
      <c r="F225" s="61"/>
    </row>
    <row r="226" spans="1:6" ht="15.75" hidden="1" customHeight="1" outlineLevel="2" x14ac:dyDescent="0.2">
      <c r="A226" s="63" t="s">
        <v>253</v>
      </c>
      <c r="B226" s="80"/>
      <c r="C226" s="80"/>
      <c r="D226" s="80"/>
      <c r="E226" s="82"/>
      <c r="F226" s="61"/>
    </row>
    <row r="227" spans="1:6" ht="22.5" hidden="1" customHeight="1" outlineLevel="2" x14ac:dyDescent="0.2">
      <c r="A227" s="62" t="s">
        <v>254</v>
      </c>
      <c r="B227" s="79">
        <v>130</v>
      </c>
      <c r="C227" s="79" t="s">
        <v>15</v>
      </c>
      <c r="D227" s="83"/>
      <c r="E227" s="81">
        <f>B227*D227</f>
        <v>0</v>
      </c>
      <c r="F227" s="61"/>
    </row>
    <row r="228" spans="1:6" ht="15.75" hidden="1" customHeight="1" outlineLevel="2" x14ac:dyDescent="0.2">
      <c r="A228" s="63" t="s">
        <v>255</v>
      </c>
      <c r="B228" s="80"/>
      <c r="C228" s="80"/>
      <c r="D228" s="80"/>
      <c r="E228" s="82"/>
      <c r="F228" s="61"/>
    </row>
    <row r="229" spans="1:6" ht="22.5" hidden="1" customHeight="1" outlineLevel="2" x14ac:dyDescent="0.2">
      <c r="A229" s="62" t="s">
        <v>256</v>
      </c>
      <c r="B229" s="79">
        <v>300</v>
      </c>
      <c r="C229" s="79" t="s">
        <v>15</v>
      </c>
      <c r="D229" s="83"/>
      <c r="E229" s="81">
        <f>B229*D229</f>
        <v>0</v>
      </c>
      <c r="F229" s="61"/>
    </row>
    <row r="230" spans="1:6" ht="15.75" hidden="1" customHeight="1" outlineLevel="2" x14ac:dyDescent="0.2">
      <c r="A230" s="63" t="s">
        <v>257</v>
      </c>
      <c r="B230" s="80"/>
      <c r="C230" s="80"/>
      <c r="D230" s="80"/>
      <c r="E230" s="82"/>
      <c r="F230" s="61"/>
    </row>
    <row r="231" spans="1:6" ht="22.5" hidden="1" customHeight="1" outlineLevel="2" x14ac:dyDescent="0.2">
      <c r="A231" s="62" t="s">
        <v>258</v>
      </c>
      <c r="B231" s="79">
        <v>95</v>
      </c>
      <c r="C231" s="79" t="s">
        <v>15</v>
      </c>
      <c r="D231" s="83"/>
      <c r="E231" s="81">
        <f>B231*D231</f>
        <v>0</v>
      </c>
      <c r="F231" s="61"/>
    </row>
    <row r="232" spans="1:6" ht="15.75" hidden="1" customHeight="1" outlineLevel="2" x14ac:dyDescent="0.2">
      <c r="A232" s="63" t="s">
        <v>259</v>
      </c>
      <c r="B232" s="80"/>
      <c r="C232" s="80"/>
      <c r="D232" s="80"/>
      <c r="E232" s="82"/>
      <c r="F232" s="61"/>
    </row>
    <row r="233" spans="1:6" ht="22.5" hidden="1" customHeight="1" outlineLevel="1" x14ac:dyDescent="0.2">
      <c r="A233" s="62" t="s">
        <v>260</v>
      </c>
      <c r="B233" s="79">
        <v>200</v>
      </c>
      <c r="C233" s="79" t="s">
        <v>15</v>
      </c>
      <c r="D233" s="83"/>
      <c r="E233" s="81">
        <f>B233*D233</f>
        <v>0</v>
      </c>
      <c r="F233" s="61"/>
    </row>
    <row r="234" spans="1:6" ht="15.75" hidden="1" customHeight="1" outlineLevel="1" x14ac:dyDescent="0.2">
      <c r="A234" s="63" t="s">
        <v>261</v>
      </c>
      <c r="B234" s="80"/>
      <c r="C234" s="80"/>
      <c r="D234" s="80"/>
      <c r="E234" s="82"/>
      <c r="F234" s="61"/>
    </row>
    <row r="235" spans="1:6" ht="22.5" hidden="1" customHeight="1" outlineLevel="2" x14ac:dyDescent="0.2">
      <c r="A235" s="62" t="s">
        <v>262</v>
      </c>
      <c r="B235" s="79">
        <v>165</v>
      </c>
      <c r="C235" s="79" t="s">
        <v>15</v>
      </c>
      <c r="D235" s="83"/>
      <c r="E235" s="81">
        <f>B235*D235</f>
        <v>0</v>
      </c>
      <c r="F235" s="61"/>
    </row>
    <row r="236" spans="1:6" ht="15.75" hidden="1" customHeight="1" outlineLevel="2" x14ac:dyDescent="0.2">
      <c r="A236" s="63" t="s">
        <v>263</v>
      </c>
      <c r="B236" s="80"/>
      <c r="C236" s="80"/>
      <c r="D236" s="80"/>
      <c r="E236" s="82"/>
      <c r="F236" s="61"/>
    </row>
    <row r="237" spans="1:6" ht="22.5" hidden="1" customHeight="1" outlineLevel="2" x14ac:dyDescent="0.2">
      <c r="A237" s="62" t="s">
        <v>264</v>
      </c>
      <c r="B237" s="79">
        <v>90</v>
      </c>
      <c r="C237" s="79" t="s">
        <v>15</v>
      </c>
      <c r="D237" s="83"/>
      <c r="E237" s="81">
        <f>B237*D237</f>
        <v>0</v>
      </c>
      <c r="F237" s="61"/>
    </row>
    <row r="238" spans="1:6" ht="15.75" hidden="1" customHeight="1" outlineLevel="2" x14ac:dyDescent="0.2">
      <c r="A238" s="63" t="s">
        <v>265</v>
      </c>
      <c r="B238" s="80"/>
      <c r="C238" s="80"/>
      <c r="D238" s="80"/>
      <c r="E238" s="82"/>
      <c r="F238" s="61"/>
    </row>
    <row r="239" spans="1:6" ht="22.5" hidden="1" customHeight="1" outlineLevel="2" x14ac:dyDescent="0.2">
      <c r="A239" s="62" t="s">
        <v>266</v>
      </c>
      <c r="B239" s="79">
        <v>200</v>
      </c>
      <c r="C239" s="79" t="s">
        <v>15</v>
      </c>
      <c r="D239" s="83"/>
      <c r="E239" s="81">
        <f>B239*D239</f>
        <v>0</v>
      </c>
      <c r="F239" s="109" t="s">
        <v>267</v>
      </c>
    </row>
    <row r="240" spans="1:6" ht="15.75" hidden="1" customHeight="1" outlineLevel="2" x14ac:dyDescent="0.2">
      <c r="A240" s="63" t="s">
        <v>268</v>
      </c>
      <c r="B240" s="80"/>
      <c r="C240" s="80"/>
      <c r="D240" s="80"/>
      <c r="E240" s="82"/>
      <c r="F240" s="78"/>
    </row>
    <row r="241" spans="1:6" ht="22.5" hidden="1" customHeight="1" outlineLevel="1" x14ac:dyDescent="0.2">
      <c r="A241" s="62" t="s">
        <v>269</v>
      </c>
      <c r="B241" s="79">
        <v>200</v>
      </c>
      <c r="C241" s="79" t="s">
        <v>15</v>
      </c>
      <c r="D241" s="83"/>
      <c r="E241" s="81">
        <f>B241*D241</f>
        <v>0</v>
      </c>
      <c r="F241" s="61"/>
    </row>
    <row r="242" spans="1:6" ht="15.75" hidden="1" customHeight="1" outlineLevel="1" x14ac:dyDescent="0.2">
      <c r="A242" s="63" t="s">
        <v>270</v>
      </c>
      <c r="B242" s="80"/>
      <c r="C242" s="80"/>
      <c r="D242" s="80"/>
      <c r="E242" s="82"/>
      <c r="F242" s="61"/>
    </row>
    <row r="243" spans="1:6" ht="22.5" hidden="1" customHeight="1" outlineLevel="2" x14ac:dyDescent="0.2">
      <c r="A243" s="62" t="s">
        <v>271</v>
      </c>
      <c r="B243" s="79">
        <v>120</v>
      </c>
      <c r="C243" s="79" t="s">
        <v>15</v>
      </c>
      <c r="D243" s="83"/>
      <c r="E243" s="81">
        <f>B243*D243</f>
        <v>0</v>
      </c>
      <c r="F243" s="61"/>
    </row>
    <row r="244" spans="1:6" ht="15.75" hidden="1" customHeight="1" outlineLevel="2" x14ac:dyDescent="0.2">
      <c r="A244" s="63" t="s">
        <v>272</v>
      </c>
      <c r="B244" s="80"/>
      <c r="C244" s="80"/>
      <c r="D244" s="80"/>
      <c r="E244" s="82"/>
      <c r="F244" s="61"/>
    </row>
    <row r="245" spans="1:6" ht="22.5" hidden="1" customHeight="1" outlineLevel="2" x14ac:dyDescent="0.2">
      <c r="A245" s="62" t="s">
        <v>273</v>
      </c>
      <c r="B245" s="79">
        <v>680</v>
      </c>
      <c r="C245" s="79" t="s">
        <v>15</v>
      </c>
      <c r="D245" s="83"/>
      <c r="E245" s="81">
        <f>B245*D245</f>
        <v>0</v>
      </c>
      <c r="F245" s="109" t="s">
        <v>267</v>
      </c>
    </row>
    <row r="246" spans="1:6" ht="15.75" hidden="1" customHeight="1" outlineLevel="2" x14ac:dyDescent="0.2">
      <c r="A246" s="63" t="s">
        <v>274</v>
      </c>
      <c r="B246" s="80"/>
      <c r="C246" s="80"/>
      <c r="D246" s="80"/>
      <c r="E246" s="82"/>
      <c r="F246" s="78"/>
    </row>
    <row r="247" spans="1:6" ht="22.5" hidden="1" customHeight="1" outlineLevel="2" x14ac:dyDescent="0.2">
      <c r="A247" s="62" t="s">
        <v>275</v>
      </c>
      <c r="B247" s="79">
        <v>565</v>
      </c>
      <c r="C247" s="79" t="s">
        <v>15</v>
      </c>
      <c r="D247" s="83"/>
      <c r="E247" s="81">
        <f>B247*D247</f>
        <v>0</v>
      </c>
      <c r="F247" s="58"/>
    </row>
    <row r="248" spans="1:6" ht="15.75" hidden="1" customHeight="1" outlineLevel="2" x14ac:dyDescent="0.2">
      <c r="A248" s="63" t="s">
        <v>276</v>
      </c>
      <c r="B248" s="80"/>
      <c r="C248" s="80"/>
      <c r="D248" s="80"/>
      <c r="E248" s="82"/>
      <c r="F248" s="58"/>
    </row>
    <row r="249" spans="1:6" ht="22.5" hidden="1" customHeight="1" outlineLevel="1" x14ac:dyDescent="0.2">
      <c r="A249" s="62" t="s">
        <v>277</v>
      </c>
      <c r="B249" s="79">
        <v>250</v>
      </c>
      <c r="C249" s="79" t="s">
        <v>15</v>
      </c>
      <c r="D249" s="83"/>
      <c r="E249" s="81">
        <f>B249*D249</f>
        <v>0</v>
      </c>
      <c r="F249" s="61"/>
    </row>
    <row r="250" spans="1:6" ht="15.75" hidden="1" customHeight="1" outlineLevel="1" x14ac:dyDescent="0.2">
      <c r="A250" s="63" t="s">
        <v>278</v>
      </c>
      <c r="B250" s="80"/>
      <c r="C250" s="80"/>
      <c r="D250" s="80"/>
      <c r="E250" s="82"/>
      <c r="F250" s="61"/>
    </row>
    <row r="251" spans="1:6" ht="22.5" hidden="1" customHeight="1" outlineLevel="2" x14ac:dyDescent="0.2">
      <c r="A251" s="62" t="s">
        <v>279</v>
      </c>
      <c r="B251" s="79">
        <v>215</v>
      </c>
      <c r="C251" s="79" t="s">
        <v>15</v>
      </c>
      <c r="D251" s="83"/>
      <c r="E251" s="81">
        <f>B251*D251</f>
        <v>0</v>
      </c>
      <c r="F251" s="61"/>
    </row>
    <row r="252" spans="1:6" ht="15.75" hidden="1" customHeight="1" outlineLevel="2" x14ac:dyDescent="0.2">
      <c r="A252" s="63" t="s">
        <v>280</v>
      </c>
      <c r="B252" s="80"/>
      <c r="C252" s="80"/>
      <c r="D252" s="80"/>
      <c r="E252" s="82"/>
      <c r="F252" s="61"/>
    </row>
    <row r="253" spans="1:6" ht="22.5" hidden="1" customHeight="1" outlineLevel="2" x14ac:dyDescent="0.2">
      <c r="A253" s="62" t="s">
        <v>281</v>
      </c>
      <c r="B253" s="79">
        <v>200</v>
      </c>
      <c r="C253" s="79" t="s">
        <v>15</v>
      </c>
      <c r="D253" s="83"/>
      <c r="E253" s="81">
        <f>B253*D253</f>
        <v>0</v>
      </c>
      <c r="F253" s="61"/>
    </row>
    <row r="254" spans="1:6" ht="15.75" hidden="1" customHeight="1" outlineLevel="2" x14ac:dyDescent="0.2">
      <c r="A254" s="63" t="s">
        <v>282</v>
      </c>
      <c r="B254" s="80"/>
      <c r="C254" s="80"/>
      <c r="D254" s="80"/>
      <c r="E254" s="82"/>
      <c r="F254" s="61"/>
    </row>
    <row r="255" spans="1:6" ht="22.5" hidden="1" customHeight="1" outlineLevel="2" x14ac:dyDescent="0.2">
      <c r="A255" s="62" t="s">
        <v>283</v>
      </c>
      <c r="B255" s="79">
        <v>100</v>
      </c>
      <c r="C255" s="79" t="s">
        <v>15</v>
      </c>
      <c r="D255" s="83"/>
      <c r="E255" s="81">
        <f>B255*D255</f>
        <v>0</v>
      </c>
      <c r="F255" s="61"/>
    </row>
    <row r="256" spans="1:6" ht="15.75" hidden="1" customHeight="1" outlineLevel="2" x14ac:dyDescent="0.2">
      <c r="A256" s="63" t="s">
        <v>284</v>
      </c>
      <c r="B256" s="80"/>
      <c r="C256" s="80"/>
      <c r="D256" s="80"/>
      <c r="E256" s="82"/>
      <c r="F256" s="61"/>
    </row>
    <row r="257" spans="1:6" ht="22.5" hidden="1" customHeight="1" outlineLevel="2" x14ac:dyDescent="0.2">
      <c r="A257" s="62" t="s">
        <v>285</v>
      </c>
      <c r="B257" s="79">
        <v>150</v>
      </c>
      <c r="C257" s="79" t="s">
        <v>15</v>
      </c>
      <c r="D257" s="83"/>
      <c r="E257" s="81">
        <f>B257*D257</f>
        <v>0</v>
      </c>
      <c r="F257" s="61"/>
    </row>
    <row r="258" spans="1:6" ht="15.75" hidden="1" customHeight="1" outlineLevel="2" x14ac:dyDescent="0.2">
      <c r="A258" s="63" t="s">
        <v>286</v>
      </c>
      <c r="B258" s="80"/>
      <c r="C258" s="80"/>
      <c r="D258" s="80"/>
      <c r="E258" s="82"/>
      <c r="F258" s="61"/>
    </row>
    <row r="259" spans="1:6" ht="22.5" hidden="1" customHeight="1" outlineLevel="2" x14ac:dyDescent="0.2">
      <c r="A259" s="62" t="s">
        <v>287</v>
      </c>
      <c r="B259" s="79">
        <v>90</v>
      </c>
      <c r="C259" s="79" t="s">
        <v>15</v>
      </c>
      <c r="D259" s="83"/>
      <c r="E259" s="81">
        <f>B259*D259</f>
        <v>0</v>
      </c>
      <c r="F259" s="61"/>
    </row>
    <row r="260" spans="1:6" ht="15.75" hidden="1" customHeight="1" outlineLevel="2" x14ac:dyDescent="0.2">
      <c r="A260" s="63" t="s">
        <v>288</v>
      </c>
      <c r="B260" s="80"/>
      <c r="C260" s="80"/>
      <c r="D260" s="80"/>
      <c r="E260" s="82"/>
      <c r="F260" s="61"/>
    </row>
    <row r="261" spans="1:6" ht="22.5" hidden="1" customHeight="1" outlineLevel="2" x14ac:dyDescent="0.2">
      <c r="A261" s="62" t="s">
        <v>289</v>
      </c>
      <c r="B261" s="79">
        <v>1400</v>
      </c>
      <c r="C261" s="79" t="s">
        <v>15</v>
      </c>
      <c r="D261" s="83"/>
      <c r="E261" s="81">
        <f>B261*D261</f>
        <v>0</v>
      </c>
      <c r="F261" s="109" t="s">
        <v>267</v>
      </c>
    </row>
    <row r="262" spans="1:6" ht="15.75" hidden="1" customHeight="1" outlineLevel="2" x14ac:dyDescent="0.2">
      <c r="A262" s="63" t="s">
        <v>290</v>
      </c>
      <c r="B262" s="80"/>
      <c r="C262" s="80"/>
      <c r="D262" s="80"/>
      <c r="E262" s="82"/>
      <c r="F262" s="78"/>
    </row>
    <row r="263" spans="1:6" ht="22.5" hidden="1" customHeight="1" outlineLevel="2" x14ac:dyDescent="0.2">
      <c r="A263" s="62" t="s">
        <v>291</v>
      </c>
      <c r="B263" s="79">
        <v>1400</v>
      </c>
      <c r="C263" s="79" t="s">
        <v>15</v>
      </c>
      <c r="D263" s="83"/>
      <c r="E263" s="81">
        <f>B263*D263</f>
        <v>0</v>
      </c>
      <c r="F263" s="109" t="s">
        <v>267</v>
      </c>
    </row>
    <row r="264" spans="1:6" ht="15.75" hidden="1" customHeight="1" outlineLevel="2" x14ac:dyDescent="0.2">
      <c r="A264" s="63" t="s">
        <v>292</v>
      </c>
      <c r="B264" s="80"/>
      <c r="C264" s="80"/>
      <c r="D264" s="80"/>
      <c r="E264" s="82"/>
      <c r="F264" s="78"/>
    </row>
    <row r="265" spans="1:6" ht="22.5" hidden="1" customHeight="1" outlineLevel="2" x14ac:dyDescent="0.2">
      <c r="A265" s="62" t="s">
        <v>293</v>
      </c>
      <c r="B265" s="79">
        <v>185</v>
      </c>
      <c r="C265" s="79" t="s">
        <v>15</v>
      </c>
      <c r="D265" s="83"/>
      <c r="E265" s="81">
        <f>B265*D265</f>
        <v>0</v>
      </c>
      <c r="F265" s="58"/>
    </row>
    <row r="266" spans="1:6" ht="15.75" hidden="1" customHeight="1" outlineLevel="2" x14ac:dyDescent="0.2">
      <c r="A266" s="63" t="s">
        <v>294</v>
      </c>
      <c r="B266" s="80"/>
      <c r="C266" s="80"/>
      <c r="D266" s="80"/>
      <c r="E266" s="82"/>
      <c r="F266" s="58"/>
    </row>
    <row r="267" spans="1:6" ht="22.5" hidden="1" customHeight="1" outlineLevel="1" x14ac:dyDescent="0.2">
      <c r="A267" s="62" t="s">
        <v>295</v>
      </c>
      <c r="B267" s="79">
        <v>450</v>
      </c>
      <c r="C267" s="79" t="s">
        <v>15</v>
      </c>
      <c r="D267" s="83"/>
      <c r="E267" s="81">
        <f>B267*D267</f>
        <v>0</v>
      </c>
      <c r="F267" s="61"/>
    </row>
    <row r="268" spans="1:6" ht="15.75" hidden="1" customHeight="1" outlineLevel="1" x14ac:dyDescent="0.2">
      <c r="A268" s="63" t="s">
        <v>296</v>
      </c>
      <c r="B268" s="80"/>
      <c r="C268" s="80"/>
      <c r="D268" s="80"/>
      <c r="E268" s="82"/>
      <c r="F268" s="61"/>
    </row>
    <row r="269" spans="1:6" ht="22.5" hidden="1" customHeight="1" outlineLevel="2" x14ac:dyDescent="0.2">
      <c r="A269" s="62" t="s">
        <v>297</v>
      </c>
      <c r="B269" s="79">
        <v>265</v>
      </c>
      <c r="C269" s="79" t="s">
        <v>15</v>
      </c>
      <c r="D269" s="83"/>
      <c r="E269" s="81">
        <f>B269*D269</f>
        <v>0</v>
      </c>
      <c r="F269" s="61"/>
    </row>
    <row r="270" spans="1:6" ht="15.75" hidden="1" customHeight="1" outlineLevel="2" x14ac:dyDescent="0.2">
      <c r="A270" s="63" t="s">
        <v>298</v>
      </c>
      <c r="B270" s="80"/>
      <c r="C270" s="80"/>
      <c r="D270" s="80"/>
      <c r="E270" s="82"/>
      <c r="F270" s="61"/>
    </row>
    <row r="271" spans="1:6" ht="22.5" hidden="1" customHeight="1" outlineLevel="2" x14ac:dyDescent="0.2">
      <c r="A271" s="62" t="s">
        <v>299</v>
      </c>
      <c r="B271" s="79">
        <v>600</v>
      </c>
      <c r="C271" s="79" t="s">
        <v>15</v>
      </c>
      <c r="D271" s="83"/>
      <c r="E271" s="81">
        <f>B271*D271</f>
        <v>0</v>
      </c>
      <c r="F271" s="61"/>
    </row>
    <row r="272" spans="1:6" ht="15.75" hidden="1" customHeight="1" outlineLevel="2" x14ac:dyDescent="0.2">
      <c r="A272" s="63" t="s">
        <v>300</v>
      </c>
      <c r="B272" s="80"/>
      <c r="C272" s="80"/>
      <c r="D272" s="80"/>
      <c r="E272" s="82"/>
      <c r="F272" s="61"/>
    </row>
    <row r="273" spans="1:6" ht="22.5" hidden="1" customHeight="1" outlineLevel="2" x14ac:dyDescent="0.2">
      <c r="A273" s="62" t="s">
        <v>301</v>
      </c>
      <c r="B273" s="79">
        <v>720</v>
      </c>
      <c r="C273" s="79" t="s">
        <v>15</v>
      </c>
      <c r="D273" s="83"/>
      <c r="E273" s="81">
        <f>B273*D273</f>
        <v>0</v>
      </c>
      <c r="F273" s="61"/>
    </row>
    <row r="274" spans="1:6" ht="15.75" hidden="1" customHeight="1" outlineLevel="2" x14ac:dyDescent="0.2">
      <c r="A274" s="63" t="s">
        <v>302</v>
      </c>
      <c r="B274" s="80"/>
      <c r="C274" s="80"/>
      <c r="D274" s="80"/>
      <c r="E274" s="82"/>
      <c r="F274" s="61"/>
    </row>
    <row r="275" spans="1:6" ht="22.5" hidden="1" customHeight="1" outlineLevel="2" x14ac:dyDescent="0.2">
      <c r="A275" s="62" t="s">
        <v>303</v>
      </c>
      <c r="B275" s="79">
        <v>730</v>
      </c>
      <c r="C275" s="79" t="s">
        <v>15</v>
      </c>
      <c r="D275" s="83"/>
      <c r="E275" s="81">
        <f>B275*D275</f>
        <v>0</v>
      </c>
      <c r="F275" s="109" t="s">
        <v>304</v>
      </c>
    </row>
    <row r="276" spans="1:6" ht="15.75" hidden="1" customHeight="1" outlineLevel="2" x14ac:dyDescent="0.2">
      <c r="A276" s="63" t="s">
        <v>305</v>
      </c>
      <c r="B276" s="80"/>
      <c r="C276" s="80"/>
      <c r="D276" s="80"/>
      <c r="E276" s="82"/>
      <c r="F276" s="78"/>
    </row>
    <row r="277" spans="1:6" ht="22.5" hidden="1" customHeight="1" outlineLevel="2" x14ac:dyDescent="0.2">
      <c r="A277" s="62" t="s">
        <v>306</v>
      </c>
      <c r="B277" s="79">
        <v>340</v>
      </c>
      <c r="C277" s="79" t="s">
        <v>15</v>
      </c>
      <c r="D277" s="83"/>
      <c r="E277" s="81">
        <f>B277*D277</f>
        <v>0</v>
      </c>
      <c r="F277" s="61"/>
    </row>
    <row r="278" spans="1:6" ht="15.75" hidden="1" customHeight="1" outlineLevel="2" x14ac:dyDescent="0.2">
      <c r="A278" s="63" t="s">
        <v>307</v>
      </c>
      <c r="B278" s="80"/>
      <c r="C278" s="80"/>
      <c r="D278" s="80"/>
      <c r="E278" s="82"/>
      <c r="F278" s="61"/>
    </row>
    <row r="279" spans="1:6" ht="22.5" hidden="1" customHeight="1" outlineLevel="2" x14ac:dyDescent="0.2">
      <c r="A279" s="62" t="s">
        <v>308</v>
      </c>
      <c r="B279" s="79">
        <v>350</v>
      </c>
      <c r="C279" s="79" t="s">
        <v>15</v>
      </c>
      <c r="D279" s="83"/>
      <c r="E279" s="81">
        <f>B279*D279</f>
        <v>0</v>
      </c>
      <c r="F279" s="61"/>
    </row>
    <row r="280" spans="1:6" ht="15.75" hidden="1" customHeight="1" outlineLevel="2" x14ac:dyDescent="0.2">
      <c r="A280" s="63" t="s">
        <v>309</v>
      </c>
      <c r="B280" s="80"/>
      <c r="C280" s="80"/>
      <c r="D280" s="80"/>
      <c r="E280" s="82"/>
      <c r="F280" s="61"/>
    </row>
    <row r="281" spans="1:6" ht="22.5" hidden="1" customHeight="1" outlineLevel="2" x14ac:dyDescent="0.2">
      <c r="A281" s="62" t="s">
        <v>310</v>
      </c>
      <c r="B281" s="79">
        <v>640</v>
      </c>
      <c r="C281" s="79" t="s">
        <v>15</v>
      </c>
      <c r="D281" s="83"/>
      <c r="E281" s="81">
        <f>B281*D281</f>
        <v>0</v>
      </c>
      <c r="F281" s="61"/>
    </row>
    <row r="282" spans="1:6" ht="15.75" hidden="1" customHeight="1" outlineLevel="2" x14ac:dyDescent="0.2">
      <c r="A282" s="63" t="s">
        <v>311</v>
      </c>
      <c r="B282" s="80"/>
      <c r="C282" s="80"/>
      <c r="D282" s="80"/>
      <c r="E282" s="82"/>
      <c r="F282" s="61"/>
    </row>
    <row r="283" spans="1:6" ht="22.5" hidden="1" customHeight="1" outlineLevel="2" x14ac:dyDescent="0.2">
      <c r="A283" s="62" t="s">
        <v>312</v>
      </c>
      <c r="B283" s="79">
        <v>725</v>
      </c>
      <c r="C283" s="79" t="s">
        <v>15</v>
      </c>
      <c r="D283" s="83"/>
      <c r="E283" s="81">
        <f>B283*D283</f>
        <v>0</v>
      </c>
      <c r="F283" s="61"/>
    </row>
    <row r="284" spans="1:6" ht="15.75" hidden="1" customHeight="1" outlineLevel="2" x14ac:dyDescent="0.2">
      <c r="A284" s="63" t="s">
        <v>313</v>
      </c>
      <c r="B284" s="80"/>
      <c r="C284" s="80"/>
      <c r="D284" s="80"/>
      <c r="E284" s="82"/>
      <c r="F284" s="61"/>
    </row>
    <row r="285" spans="1:6" ht="22.5" hidden="1" customHeight="1" outlineLevel="2" x14ac:dyDescent="0.2">
      <c r="A285" s="62" t="s">
        <v>314</v>
      </c>
      <c r="B285" s="79">
        <v>600</v>
      </c>
      <c r="C285" s="79" t="s">
        <v>15</v>
      </c>
      <c r="D285" s="83"/>
      <c r="E285" s="81">
        <f>B285*D285</f>
        <v>0</v>
      </c>
      <c r="F285" s="61"/>
    </row>
    <row r="286" spans="1:6" ht="15.75" hidden="1" customHeight="1" outlineLevel="2" x14ac:dyDescent="0.2">
      <c r="A286" s="63" t="s">
        <v>315</v>
      </c>
      <c r="B286" s="80"/>
      <c r="C286" s="80"/>
      <c r="D286" s="80"/>
      <c r="E286" s="82"/>
      <c r="F286" s="61"/>
    </row>
    <row r="287" spans="1:6" ht="11.25" customHeight="1" x14ac:dyDescent="0.2">
      <c r="A287" s="132" t="s">
        <v>12</v>
      </c>
      <c r="B287" s="85"/>
      <c r="C287" s="85"/>
      <c r="D287" s="85"/>
      <c r="E287" s="85"/>
      <c r="F287" s="17"/>
    </row>
    <row r="288" spans="1:6" ht="22.5" customHeight="1" x14ac:dyDescent="0.2">
      <c r="A288" s="86" t="s">
        <v>316</v>
      </c>
      <c r="B288" s="87"/>
      <c r="C288" s="87"/>
      <c r="D288" s="88"/>
      <c r="E288" s="31"/>
      <c r="F288" s="27">
        <f>SUM(E290:E345)</f>
        <v>0</v>
      </c>
    </row>
    <row r="289" spans="1:6" ht="15.75" customHeight="1" collapsed="1" x14ac:dyDescent="0.2">
      <c r="A289" s="133" t="s">
        <v>317</v>
      </c>
      <c r="B289" s="94"/>
      <c r="C289" s="94"/>
      <c r="D289" s="94"/>
      <c r="E289" s="64"/>
      <c r="F289" s="61"/>
    </row>
    <row r="290" spans="1:6" ht="22.5" hidden="1" customHeight="1" outlineLevel="1" x14ac:dyDescent="0.2">
      <c r="A290" s="62" t="s">
        <v>318</v>
      </c>
      <c r="B290" s="79">
        <v>1000</v>
      </c>
      <c r="C290" s="79" t="s">
        <v>15</v>
      </c>
      <c r="D290" s="83"/>
      <c r="E290" s="81">
        <f>B290*D290</f>
        <v>0</v>
      </c>
      <c r="F290" s="61"/>
    </row>
    <row r="291" spans="1:6" ht="15.75" hidden="1" customHeight="1" outlineLevel="1" x14ac:dyDescent="0.2">
      <c r="A291" s="63" t="s">
        <v>319</v>
      </c>
      <c r="B291" s="80"/>
      <c r="C291" s="80"/>
      <c r="D291" s="80"/>
      <c r="E291" s="82"/>
      <c r="F291" s="61"/>
    </row>
    <row r="292" spans="1:6" ht="22.5" hidden="1" customHeight="1" outlineLevel="1" x14ac:dyDescent="0.2">
      <c r="A292" s="62" t="s">
        <v>320</v>
      </c>
      <c r="B292" s="79">
        <v>1500</v>
      </c>
      <c r="C292" s="79" t="s">
        <v>15</v>
      </c>
      <c r="D292" s="83"/>
      <c r="E292" s="90">
        <f>B292*D292</f>
        <v>0</v>
      </c>
      <c r="F292" s="61"/>
    </row>
    <row r="293" spans="1:6" ht="15.75" hidden="1" customHeight="1" outlineLevel="1" x14ac:dyDescent="0.2">
      <c r="A293" s="63" t="s">
        <v>321</v>
      </c>
      <c r="B293" s="80"/>
      <c r="C293" s="80"/>
      <c r="D293" s="80"/>
      <c r="E293" s="78"/>
      <c r="F293" s="61"/>
    </row>
    <row r="294" spans="1:6" ht="22.5" hidden="1" customHeight="1" outlineLevel="1" x14ac:dyDescent="0.2">
      <c r="A294" s="62" t="s">
        <v>322</v>
      </c>
      <c r="B294" s="79">
        <v>3000</v>
      </c>
      <c r="C294" s="79" t="s">
        <v>15</v>
      </c>
      <c r="D294" s="83"/>
      <c r="E294" s="90">
        <f>B294*D294</f>
        <v>0</v>
      </c>
      <c r="F294" s="61"/>
    </row>
    <row r="295" spans="1:6" ht="15.75" hidden="1" customHeight="1" outlineLevel="1" x14ac:dyDescent="0.2">
      <c r="A295" s="63" t="s">
        <v>323</v>
      </c>
      <c r="B295" s="80"/>
      <c r="C295" s="80"/>
      <c r="D295" s="80"/>
      <c r="E295" s="78"/>
      <c r="F295" s="61"/>
    </row>
    <row r="296" spans="1:6" ht="22.5" hidden="1" customHeight="1" outlineLevel="1" x14ac:dyDescent="0.2">
      <c r="A296" s="62" t="s">
        <v>324</v>
      </c>
      <c r="B296" s="79">
        <v>200</v>
      </c>
      <c r="C296" s="79" t="s">
        <v>15</v>
      </c>
      <c r="D296" s="83"/>
      <c r="E296" s="90">
        <f>B296*D296</f>
        <v>0</v>
      </c>
      <c r="F296" s="115" t="s">
        <v>325</v>
      </c>
    </row>
    <row r="297" spans="1:6" ht="15.75" hidden="1" customHeight="1" outlineLevel="1" x14ac:dyDescent="0.2">
      <c r="A297" s="63" t="s">
        <v>326</v>
      </c>
      <c r="B297" s="80"/>
      <c r="C297" s="80"/>
      <c r="D297" s="80"/>
      <c r="E297" s="78"/>
      <c r="F297" s="78"/>
    </row>
    <row r="298" spans="1:6" ht="22.5" hidden="1" customHeight="1" outlineLevel="1" x14ac:dyDescent="0.2">
      <c r="A298" s="62" t="s">
        <v>327</v>
      </c>
      <c r="B298" s="79">
        <v>300</v>
      </c>
      <c r="C298" s="79" t="s">
        <v>15</v>
      </c>
      <c r="D298" s="83"/>
      <c r="E298" s="90">
        <f>B298*D298</f>
        <v>0</v>
      </c>
      <c r="F298" s="115" t="s">
        <v>325</v>
      </c>
    </row>
    <row r="299" spans="1:6" ht="15.75" hidden="1" customHeight="1" outlineLevel="1" x14ac:dyDescent="0.2">
      <c r="A299" s="63" t="s">
        <v>328</v>
      </c>
      <c r="B299" s="80"/>
      <c r="C299" s="80"/>
      <c r="D299" s="80"/>
      <c r="E299" s="78"/>
      <c r="F299" s="78"/>
    </row>
    <row r="300" spans="1:6" ht="22.5" hidden="1" customHeight="1" outlineLevel="1" x14ac:dyDescent="0.2">
      <c r="A300" s="62" t="s">
        <v>329</v>
      </c>
      <c r="B300" s="79">
        <v>90</v>
      </c>
      <c r="C300" s="79" t="s">
        <v>15</v>
      </c>
      <c r="D300" s="83"/>
      <c r="E300" s="90">
        <f>B300*D300</f>
        <v>0</v>
      </c>
      <c r="F300" s="109" t="s">
        <v>330</v>
      </c>
    </row>
    <row r="301" spans="1:6" ht="15.75" hidden="1" customHeight="1" outlineLevel="1" x14ac:dyDescent="0.2">
      <c r="A301" s="63" t="s">
        <v>331</v>
      </c>
      <c r="B301" s="80"/>
      <c r="C301" s="80"/>
      <c r="D301" s="80"/>
      <c r="E301" s="78"/>
      <c r="F301" s="78"/>
    </row>
    <row r="302" spans="1:6" ht="22.5" hidden="1" customHeight="1" outlineLevel="1" x14ac:dyDescent="0.2">
      <c r="A302" s="62" t="s">
        <v>332</v>
      </c>
      <c r="B302" s="79">
        <v>55</v>
      </c>
      <c r="C302" s="79" t="s">
        <v>15</v>
      </c>
      <c r="D302" s="83"/>
      <c r="E302" s="90">
        <f>B302*D302</f>
        <v>0</v>
      </c>
      <c r="F302" s="109" t="s">
        <v>333</v>
      </c>
    </row>
    <row r="303" spans="1:6" ht="15.75" hidden="1" customHeight="1" outlineLevel="1" x14ac:dyDescent="0.2">
      <c r="A303" s="63" t="s">
        <v>334</v>
      </c>
      <c r="B303" s="80"/>
      <c r="C303" s="80"/>
      <c r="D303" s="80"/>
      <c r="E303" s="78"/>
      <c r="F303" s="78"/>
    </row>
    <row r="304" spans="1:6" ht="22.5" hidden="1" customHeight="1" outlineLevel="2" x14ac:dyDescent="0.2">
      <c r="A304" s="62" t="s">
        <v>335</v>
      </c>
      <c r="B304" s="79">
        <v>115</v>
      </c>
      <c r="C304" s="79" t="s">
        <v>15</v>
      </c>
      <c r="D304" s="83"/>
      <c r="E304" s="90">
        <f>B304*D304</f>
        <v>0</v>
      </c>
      <c r="F304" s="61"/>
    </row>
    <row r="305" spans="1:6" ht="15.75" hidden="1" customHeight="1" outlineLevel="2" x14ac:dyDescent="0.2">
      <c r="A305" s="63" t="s">
        <v>336</v>
      </c>
      <c r="B305" s="80"/>
      <c r="C305" s="80"/>
      <c r="D305" s="80"/>
      <c r="E305" s="78"/>
      <c r="F305" s="61"/>
    </row>
    <row r="306" spans="1:6" ht="22.5" hidden="1" customHeight="1" outlineLevel="2" x14ac:dyDescent="0.2">
      <c r="A306" s="62" t="s">
        <v>337</v>
      </c>
      <c r="B306" s="79">
        <v>50</v>
      </c>
      <c r="C306" s="79" t="s">
        <v>15</v>
      </c>
      <c r="D306" s="83"/>
      <c r="E306" s="90">
        <f>B306*D306</f>
        <v>0</v>
      </c>
      <c r="F306" s="61"/>
    </row>
    <row r="307" spans="1:6" ht="15.75" hidden="1" customHeight="1" outlineLevel="2" x14ac:dyDescent="0.2">
      <c r="A307" s="63" t="s">
        <v>338</v>
      </c>
      <c r="B307" s="80"/>
      <c r="C307" s="80"/>
      <c r="D307" s="80"/>
      <c r="E307" s="78"/>
      <c r="F307" s="61"/>
    </row>
    <row r="308" spans="1:6" ht="22.5" hidden="1" customHeight="1" outlineLevel="2" x14ac:dyDescent="0.2">
      <c r="A308" s="62" t="s">
        <v>339</v>
      </c>
      <c r="B308" s="79">
        <v>50</v>
      </c>
      <c r="C308" s="79" t="s">
        <v>15</v>
      </c>
      <c r="D308" s="83"/>
      <c r="E308" s="90">
        <f>B308*D308</f>
        <v>0</v>
      </c>
      <c r="F308" s="61"/>
    </row>
    <row r="309" spans="1:6" ht="15.75" hidden="1" customHeight="1" outlineLevel="2" x14ac:dyDescent="0.2">
      <c r="A309" s="63" t="s">
        <v>340</v>
      </c>
      <c r="B309" s="80"/>
      <c r="C309" s="80"/>
      <c r="D309" s="80"/>
      <c r="E309" s="78"/>
      <c r="F309" s="61"/>
    </row>
    <row r="310" spans="1:6" ht="22.5" hidden="1" customHeight="1" outlineLevel="2" x14ac:dyDescent="0.2">
      <c r="A310" s="62" t="s">
        <v>341</v>
      </c>
      <c r="B310" s="79">
        <v>55</v>
      </c>
      <c r="C310" s="79" t="s">
        <v>15</v>
      </c>
      <c r="D310" s="83"/>
      <c r="E310" s="90">
        <f>B310*D310</f>
        <v>0</v>
      </c>
      <c r="F310" s="61"/>
    </row>
    <row r="311" spans="1:6" ht="15.75" hidden="1" customHeight="1" outlineLevel="2" x14ac:dyDescent="0.2">
      <c r="A311" s="63" t="s">
        <v>342</v>
      </c>
      <c r="B311" s="80"/>
      <c r="C311" s="80"/>
      <c r="D311" s="80"/>
      <c r="E311" s="78"/>
      <c r="F311" s="61"/>
    </row>
    <row r="312" spans="1:6" ht="22.5" hidden="1" customHeight="1" outlineLevel="2" x14ac:dyDescent="0.2">
      <c r="A312" s="62" t="s">
        <v>343</v>
      </c>
      <c r="B312" s="79">
        <v>50</v>
      </c>
      <c r="C312" s="79" t="s">
        <v>15</v>
      </c>
      <c r="D312" s="83"/>
      <c r="E312" s="90">
        <f>B312*D312</f>
        <v>0</v>
      </c>
      <c r="F312" s="61"/>
    </row>
    <row r="313" spans="1:6" ht="15.75" hidden="1" customHeight="1" outlineLevel="2" x14ac:dyDescent="0.2">
      <c r="A313" s="63" t="s">
        <v>344</v>
      </c>
      <c r="B313" s="80"/>
      <c r="C313" s="80"/>
      <c r="D313" s="80"/>
      <c r="E313" s="78"/>
      <c r="F313" s="61"/>
    </row>
    <row r="314" spans="1:6" ht="22.5" hidden="1" customHeight="1" outlineLevel="1" x14ac:dyDescent="0.2">
      <c r="A314" s="62" t="s">
        <v>345</v>
      </c>
      <c r="B314" s="79">
        <v>55</v>
      </c>
      <c r="C314" s="79" t="s">
        <v>15</v>
      </c>
      <c r="D314" s="83"/>
      <c r="E314" s="90">
        <f>B314*D314</f>
        <v>0</v>
      </c>
      <c r="F314" s="109" t="s">
        <v>346</v>
      </c>
    </row>
    <row r="315" spans="1:6" ht="15.75" hidden="1" customHeight="1" outlineLevel="1" x14ac:dyDescent="0.2">
      <c r="A315" s="63" t="s">
        <v>347</v>
      </c>
      <c r="B315" s="80"/>
      <c r="C315" s="80"/>
      <c r="D315" s="80"/>
      <c r="E315" s="78"/>
      <c r="F315" s="78"/>
    </row>
    <row r="316" spans="1:6" ht="22.5" hidden="1" customHeight="1" outlineLevel="1" x14ac:dyDescent="0.2">
      <c r="A316" s="62" t="s">
        <v>348</v>
      </c>
      <c r="B316" s="79">
        <v>85</v>
      </c>
      <c r="C316" s="79" t="s">
        <v>15</v>
      </c>
      <c r="D316" s="83"/>
      <c r="E316" s="90">
        <f>B316*D316</f>
        <v>0</v>
      </c>
      <c r="F316" s="131" t="s">
        <v>349</v>
      </c>
    </row>
    <row r="317" spans="1:6" ht="15.75" hidden="1" customHeight="1" outlineLevel="1" x14ac:dyDescent="0.2">
      <c r="A317" s="63" t="s">
        <v>350</v>
      </c>
      <c r="B317" s="80"/>
      <c r="C317" s="80"/>
      <c r="D317" s="80"/>
      <c r="E317" s="78"/>
      <c r="F317" s="78"/>
    </row>
    <row r="318" spans="1:6" ht="22.5" hidden="1" customHeight="1" outlineLevel="2" x14ac:dyDescent="0.2">
      <c r="A318" s="62" t="s">
        <v>351</v>
      </c>
      <c r="B318" s="79">
        <v>115</v>
      </c>
      <c r="C318" s="79" t="s">
        <v>15</v>
      </c>
      <c r="D318" s="83"/>
      <c r="E318" s="90">
        <f>B318*D318</f>
        <v>0</v>
      </c>
      <c r="F318" s="61"/>
    </row>
    <row r="319" spans="1:6" ht="15.75" hidden="1" customHeight="1" outlineLevel="2" x14ac:dyDescent="0.2">
      <c r="A319" s="63" t="s">
        <v>352</v>
      </c>
      <c r="B319" s="80"/>
      <c r="C319" s="80"/>
      <c r="D319" s="80"/>
      <c r="E319" s="78"/>
      <c r="F319" s="61"/>
    </row>
    <row r="320" spans="1:6" ht="22.5" hidden="1" customHeight="1" outlineLevel="2" x14ac:dyDescent="0.2">
      <c r="A320" s="62" t="s">
        <v>353</v>
      </c>
      <c r="B320" s="79">
        <v>50</v>
      </c>
      <c r="C320" s="79" t="s">
        <v>15</v>
      </c>
      <c r="D320" s="83"/>
      <c r="E320" s="90">
        <f>B320*D320</f>
        <v>0</v>
      </c>
      <c r="F320" s="61"/>
    </row>
    <row r="321" spans="1:6" ht="15.75" hidden="1" customHeight="1" outlineLevel="2" x14ac:dyDescent="0.2">
      <c r="A321" s="63" t="s">
        <v>354</v>
      </c>
      <c r="B321" s="80"/>
      <c r="C321" s="80"/>
      <c r="D321" s="80"/>
      <c r="E321" s="78"/>
      <c r="F321" s="61"/>
    </row>
    <row r="322" spans="1:6" ht="22.5" hidden="1" customHeight="1" outlineLevel="2" x14ac:dyDescent="0.2">
      <c r="A322" s="62" t="s">
        <v>355</v>
      </c>
      <c r="B322" s="79">
        <v>55</v>
      </c>
      <c r="C322" s="79" t="s">
        <v>15</v>
      </c>
      <c r="D322" s="83"/>
      <c r="E322" s="90">
        <f>B322*D322</f>
        <v>0</v>
      </c>
      <c r="F322" s="61"/>
    </row>
    <row r="323" spans="1:6" ht="15.75" hidden="1" customHeight="1" outlineLevel="2" x14ac:dyDescent="0.2">
      <c r="A323" s="63" t="s">
        <v>356</v>
      </c>
      <c r="B323" s="80"/>
      <c r="C323" s="80"/>
      <c r="D323" s="80"/>
      <c r="E323" s="78"/>
      <c r="F323" s="61"/>
    </row>
    <row r="324" spans="1:6" ht="22.5" hidden="1" customHeight="1" outlineLevel="2" x14ac:dyDescent="0.2">
      <c r="A324" s="62" t="s">
        <v>357</v>
      </c>
      <c r="B324" s="79">
        <v>50</v>
      </c>
      <c r="C324" s="79" t="s">
        <v>15</v>
      </c>
      <c r="D324" s="83"/>
      <c r="E324" s="90">
        <f>B324*D324</f>
        <v>0</v>
      </c>
      <c r="F324" s="61"/>
    </row>
    <row r="325" spans="1:6" ht="15.75" hidden="1" customHeight="1" outlineLevel="2" x14ac:dyDescent="0.2">
      <c r="A325" s="63" t="s">
        <v>358</v>
      </c>
      <c r="B325" s="80"/>
      <c r="C325" s="80"/>
      <c r="D325" s="80"/>
      <c r="E325" s="78"/>
      <c r="F325" s="61"/>
    </row>
    <row r="326" spans="1:6" ht="22.5" hidden="1" customHeight="1" outlineLevel="1" x14ac:dyDescent="0.2">
      <c r="A326" s="62" t="s">
        <v>359</v>
      </c>
      <c r="B326" s="79">
        <v>180</v>
      </c>
      <c r="C326" s="79" t="s">
        <v>15</v>
      </c>
      <c r="D326" s="83"/>
      <c r="E326" s="90">
        <f>B326*D326</f>
        <v>0</v>
      </c>
      <c r="F326" s="61"/>
    </row>
    <row r="327" spans="1:6" ht="15.75" hidden="1" customHeight="1" outlineLevel="1" x14ac:dyDescent="0.2">
      <c r="A327" s="63" t="s">
        <v>360</v>
      </c>
      <c r="B327" s="80"/>
      <c r="C327" s="80"/>
      <c r="D327" s="80"/>
      <c r="E327" s="78"/>
      <c r="F327" s="61"/>
    </row>
    <row r="328" spans="1:6" ht="22.5" hidden="1" customHeight="1" outlineLevel="1" x14ac:dyDescent="0.2">
      <c r="A328" s="62" t="s">
        <v>361</v>
      </c>
      <c r="B328" s="79">
        <v>180</v>
      </c>
      <c r="C328" s="79" t="s">
        <v>15</v>
      </c>
      <c r="D328" s="83"/>
      <c r="E328" s="90">
        <f>B328*D328</f>
        <v>0</v>
      </c>
      <c r="F328" s="61"/>
    </row>
    <row r="329" spans="1:6" ht="15.75" hidden="1" customHeight="1" outlineLevel="1" x14ac:dyDescent="0.2">
      <c r="A329" s="63" t="s">
        <v>362</v>
      </c>
      <c r="B329" s="80"/>
      <c r="C329" s="80"/>
      <c r="D329" s="80"/>
      <c r="E329" s="78"/>
      <c r="F329" s="61"/>
    </row>
    <row r="330" spans="1:6" ht="22.5" hidden="1" customHeight="1" outlineLevel="2" x14ac:dyDescent="0.2">
      <c r="A330" s="62" t="s">
        <v>363</v>
      </c>
      <c r="B330" s="79">
        <v>190</v>
      </c>
      <c r="C330" s="79" t="s">
        <v>15</v>
      </c>
      <c r="D330" s="83"/>
      <c r="E330" s="90">
        <f>B330*D330</f>
        <v>0</v>
      </c>
      <c r="F330" s="61"/>
    </row>
    <row r="331" spans="1:6" ht="15.75" hidden="1" customHeight="1" outlineLevel="2" x14ac:dyDescent="0.2">
      <c r="A331" s="63" t="s">
        <v>364</v>
      </c>
      <c r="B331" s="80"/>
      <c r="C331" s="80"/>
      <c r="D331" s="80"/>
      <c r="E331" s="78"/>
      <c r="F331" s="61"/>
    </row>
    <row r="332" spans="1:6" ht="22.5" hidden="1" customHeight="1" outlineLevel="1" x14ac:dyDescent="0.2">
      <c r="A332" s="62" t="s">
        <v>365</v>
      </c>
      <c r="B332" s="79">
        <v>130</v>
      </c>
      <c r="C332" s="79" t="s">
        <v>15</v>
      </c>
      <c r="D332" s="83"/>
      <c r="E332" s="90">
        <f>B332*D332</f>
        <v>0</v>
      </c>
      <c r="F332" s="61"/>
    </row>
    <row r="333" spans="1:6" ht="36" hidden="1" customHeight="1" outlineLevel="1" x14ac:dyDescent="0.2">
      <c r="A333" s="63" t="s">
        <v>366</v>
      </c>
      <c r="B333" s="80"/>
      <c r="C333" s="80"/>
      <c r="D333" s="80"/>
      <c r="E333" s="78"/>
      <c r="F333" s="61"/>
    </row>
    <row r="334" spans="1:6" ht="22.5" hidden="1" customHeight="1" outlineLevel="2" x14ac:dyDescent="0.2">
      <c r="A334" s="62" t="s">
        <v>367</v>
      </c>
      <c r="B334" s="79">
        <v>100</v>
      </c>
      <c r="C334" s="79" t="s">
        <v>15</v>
      </c>
      <c r="D334" s="83"/>
      <c r="E334" s="90">
        <f>B334*D334</f>
        <v>0</v>
      </c>
      <c r="F334" s="61"/>
    </row>
    <row r="335" spans="1:6" ht="15.75" hidden="1" customHeight="1" outlineLevel="2" x14ac:dyDescent="0.2">
      <c r="A335" s="63" t="s">
        <v>368</v>
      </c>
      <c r="B335" s="80"/>
      <c r="C335" s="80"/>
      <c r="D335" s="80"/>
      <c r="E335" s="78"/>
      <c r="F335" s="61"/>
    </row>
    <row r="336" spans="1:6" ht="22.5" hidden="1" customHeight="1" outlineLevel="2" x14ac:dyDescent="0.2">
      <c r="A336" s="62" t="s">
        <v>369</v>
      </c>
      <c r="B336" s="79">
        <v>75</v>
      </c>
      <c r="C336" s="79" t="s">
        <v>15</v>
      </c>
      <c r="D336" s="83"/>
      <c r="E336" s="90">
        <f>B336*D336</f>
        <v>0</v>
      </c>
      <c r="F336" s="61"/>
    </row>
    <row r="337" spans="1:6" ht="15.75" hidden="1" customHeight="1" outlineLevel="2" x14ac:dyDescent="0.2">
      <c r="A337" s="63" t="s">
        <v>370</v>
      </c>
      <c r="B337" s="80"/>
      <c r="C337" s="80"/>
      <c r="D337" s="80"/>
      <c r="E337" s="78"/>
      <c r="F337" s="61"/>
    </row>
    <row r="338" spans="1:6" ht="22.5" hidden="1" customHeight="1" outlineLevel="2" x14ac:dyDescent="0.2">
      <c r="A338" s="62" t="s">
        <v>371</v>
      </c>
      <c r="B338" s="79">
        <v>45</v>
      </c>
      <c r="C338" s="79" t="s">
        <v>15</v>
      </c>
      <c r="D338" s="83"/>
      <c r="E338" s="90">
        <f>B338*D338</f>
        <v>0</v>
      </c>
      <c r="F338" s="61"/>
    </row>
    <row r="339" spans="1:6" ht="15.75" hidden="1" customHeight="1" outlineLevel="2" x14ac:dyDescent="0.2">
      <c r="A339" s="63" t="s">
        <v>372</v>
      </c>
      <c r="B339" s="80"/>
      <c r="C339" s="80"/>
      <c r="D339" s="80"/>
      <c r="E339" s="78"/>
      <c r="F339" s="61"/>
    </row>
    <row r="340" spans="1:6" ht="22.5" hidden="1" customHeight="1" outlineLevel="2" x14ac:dyDescent="0.2">
      <c r="A340" s="62" t="s">
        <v>373</v>
      </c>
      <c r="B340" s="79">
        <v>65</v>
      </c>
      <c r="C340" s="79" t="s">
        <v>15</v>
      </c>
      <c r="D340" s="83"/>
      <c r="E340" s="90">
        <f>B340*D340</f>
        <v>0</v>
      </c>
      <c r="F340" s="61"/>
    </row>
    <row r="341" spans="1:6" ht="15.75" hidden="1" customHeight="1" outlineLevel="2" x14ac:dyDescent="0.2">
      <c r="A341" s="63" t="s">
        <v>374</v>
      </c>
      <c r="B341" s="80"/>
      <c r="C341" s="80"/>
      <c r="D341" s="80"/>
      <c r="E341" s="78"/>
      <c r="F341" s="61"/>
    </row>
    <row r="342" spans="1:6" ht="22.5" hidden="1" customHeight="1" outlineLevel="1" x14ac:dyDescent="0.2">
      <c r="A342" s="62" t="s">
        <v>375</v>
      </c>
      <c r="B342" s="79">
        <v>180</v>
      </c>
      <c r="C342" s="79" t="s">
        <v>15</v>
      </c>
      <c r="D342" s="83"/>
      <c r="E342" s="90">
        <f>B342*D342</f>
        <v>0</v>
      </c>
      <c r="F342" s="61"/>
    </row>
    <row r="343" spans="1:6" ht="15.75" hidden="1" customHeight="1" outlineLevel="1" x14ac:dyDescent="0.2">
      <c r="A343" s="63" t="s">
        <v>376</v>
      </c>
      <c r="B343" s="80"/>
      <c r="C343" s="80"/>
      <c r="D343" s="80"/>
      <c r="E343" s="78"/>
      <c r="F343" s="61"/>
    </row>
    <row r="344" spans="1:6" ht="22.5" hidden="1" customHeight="1" outlineLevel="2" x14ac:dyDescent="0.2">
      <c r="A344" s="62" t="s">
        <v>377</v>
      </c>
      <c r="B344" s="79">
        <v>200</v>
      </c>
      <c r="C344" s="79" t="s">
        <v>15</v>
      </c>
      <c r="D344" s="83"/>
      <c r="E344" s="90">
        <f>B344*D344</f>
        <v>0</v>
      </c>
      <c r="F344" s="61"/>
    </row>
    <row r="345" spans="1:6" ht="15.75" hidden="1" customHeight="1" outlineLevel="2" x14ac:dyDescent="0.2">
      <c r="A345" s="63" t="s">
        <v>378</v>
      </c>
      <c r="B345" s="80"/>
      <c r="C345" s="80"/>
      <c r="D345" s="80"/>
      <c r="E345" s="78"/>
      <c r="F345" s="61"/>
    </row>
    <row r="346" spans="1:6" ht="11.25" customHeight="1" x14ac:dyDescent="0.2">
      <c r="A346" s="132" t="s">
        <v>12</v>
      </c>
      <c r="B346" s="85"/>
      <c r="C346" s="85"/>
      <c r="D346" s="85"/>
      <c r="E346" s="85"/>
      <c r="F346" s="17"/>
    </row>
    <row r="347" spans="1:6" ht="22.5" customHeight="1" collapsed="1" x14ac:dyDescent="0.2">
      <c r="A347" s="86" t="s">
        <v>379</v>
      </c>
      <c r="B347" s="87"/>
      <c r="C347" s="87"/>
      <c r="D347" s="88"/>
      <c r="E347" s="36"/>
      <c r="F347" s="37">
        <f>SUM(E348:E383)</f>
        <v>0</v>
      </c>
    </row>
    <row r="348" spans="1:6" ht="22.5" hidden="1" customHeight="1" outlineLevel="1" x14ac:dyDescent="0.2">
      <c r="A348" s="62" t="s">
        <v>380</v>
      </c>
      <c r="B348" s="79">
        <v>500</v>
      </c>
      <c r="C348" s="79" t="s">
        <v>15</v>
      </c>
      <c r="D348" s="83"/>
      <c r="E348" s="81">
        <f>B348*D348</f>
        <v>0</v>
      </c>
      <c r="F348" s="61"/>
    </row>
    <row r="349" spans="1:6" ht="15.75" hidden="1" customHeight="1" outlineLevel="1" x14ac:dyDescent="0.2">
      <c r="A349" s="63" t="s">
        <v>381</v>
      </c>
      <c r="B349" s="80"/>
      <c r="C349" s="80"/>
      <c r="D349" s="80"/>
      <c r="E349" s="82"/>
      <c r="F349" s="61"/>
    </row>
    <row r="350" spans="1:6" ht="22.5" hidden="1" customHeight="1" outlineLevel="1" x14ac:dyDescent="0.2">
      <c r="A350" s="62" t="s">
        <v>382</v>
      </c>
      <c r="B350" s="79">
        <v>1500</v>
      </c>
      <c r="C350" s="79" t="s">
        <v>15</v>
      </c>
      <c r="D350" s="83">
        <f>D348</f>
        <v>0</v>
      </c>
      <c r="E350" s="90">
        <f>B350*D350</f>
        <v>0</v>
      </c>
      <c r="F350" s="61"/>
    </row>
    <row r="351" spans="1:6" ht="15.75" hidden="1" customHeight="1" outlineLevel="1" x14ac:dyDescent="0.2">
      <c r="A351" s="63" t="s">
        <v>383</v>
      </c>
      <c r="B351" s="80"/>
      <c r="C351" s="80"/>
      <c r="D351" s="80"/>
      <c r="E351" s="78"/>
      <c r="F351" s="61"/>
    </row>
    <row r="352" spans="1:6" ht="22.5" hidden="1" customHeight="1" outlineLevel="1" x14ac:dyDescent="0.2">
      <c r="A352" s="62" t="s">
        <v>384</v>
      </c>
      <c r="B352" s="79">
        <v>660</v>
      </c>
      <c r="C352" s="79" t="s">
        <v>15</v>
      </c>
      <c r="D352" s="83"/>
      <c r="E352" s="90">
        <f>B352*D352</f>
        <v>0</v>
      </c>
      <c r="F352" s="61"/>
    </row>
    <row r="353" spans="1:6" ht="15.75" hidden="1" customHeight="1" outlineLevel="1" x14ac:dyDescent="0.2">
      <c r="A353" s="63" t="s">
        <v>385</v>
      </c>
      <c r="B353" s="80"/>
      <c r="C353" s="80"/>
      <c r="D353" s="80"/>
      <c r="E353" s="78"/>
      <c r="F353" s="61"/>
    </row>
    <row r="354" spans="1:6" ht="22.5" hidden="1" customHeight="1" outlineLevel="1" x14ac:dyDescent="0.2">
      <c r="A354" s="62" t="s">
        <v>386</v>
      </c>
      <c r="B354" s="79">
        <v>710</v>
      </c>
      <c r="C354" s="79" t="s">
        <v>15</v>
      </c>
      <c r="D354" s="83"/>
      <c r="E354" s="90">
        <f>B354*D354</f>
        <v>0</v>
      </c>
      <c r="F354" s="61"/>
    </row>
    <row r="355" spans="1:6" ht="15.75" hidden="1" customHeight="1" outlineLevel="1" x14ac:dyDescent="0.2">
      <c r="A355" s="63" t="s">
        <v>387</v>
      </c>
      <c r="B355" s="80"/>
      <c r="C355" s="80"/>
      <c r="D355" s="80"/>
      <c r="E355" s="78"/>
      <c r="F355" s="61"/>
    </row>
    <row r="356" spans="1:6" ht="22.5" hidden="1" customHeight="1" outlineLevel="2" x14ac:dyDescent="0.2">
      <c r="A356" s="62" t="s">
        <v>388</v>
      </c>
      <c r="B356" s="79">
        <v>250</v>
      </c>
      <c r="C356" s="79" t="s">
        <v>15</v>
      </c>
      <c r="D356" s="83"/>
      <c r="E356" s="90">
        <f>B356*D356</f>
        <v>0</v>
      </c>
      <c r="F356" s="61"/>
    </row>
    <row r="357" spans="1:6" ht="15.75" hidden="1" customHeight="1" outlineLevel="2" x14ac:dyDescent="0.2">
      <c r="A357" s="63" t="s">
        <v>389</v>
      </c>
      <c r="B357" s="80"/>
      <c r="C357" s="80"/>
      <c r="D357" s="80"/>
      <c r="E357" s="78"/>
      <c r="F357" s="61"/>
    </row>
    <row r="358" spans="1:6" ht="22.5" hidden="1" customHeight="1" outlineLevel="2" x14ac:dyDescent="0.2">
      <c r="A358" s="62" t="s">
        <v>390</v>
      </c>
      <c r="B358" s="79">
        <v>300</v>
      </c>
      <c r="C358" s="79" t="s">
        <v>15</v>
      </c>
      <c r="D358" s="83">
        <f>D356</f>
        <v>0</v>
      </c>
      <c r="E358" s="90">
        <f>B358*D358</f>
        <v>0</v>
      </c>
      <c r="F358" s="61"/>
    </row>
    <row r="359" spans="1:6" ht="15.75" hidden="1" customHeight="1" outlineLevel="2" x14ac:dyDescent="0.2">
      <c r="A359" s="63" t="s">
        <v>391</v>
      </c>
      <c r="B359" s="80"/>
      <c r="C359" s="80"/>
      <c r="D359" s="80"/>
      <c r="E359" s="78"/>
      <c r="F359" s="61"/>
    </row>
    <row r="360" spans="1:6" ht="22.5" hidden="1" customHeight="1" outlineLevel="1" x14ac:dyDescent="0.2">
      <c r="A360" s="62" t="s">
        <v>392</v>
      </c>
      <c r="B360" s="79">
        <v>210</v>
      </c>
      <c r="C360" s="79" t="s">
        <v>15</v>
      </c>
      <c r="D360" s="83"/>
      <c r="E360" s="90">
        <f>B360*D360</f>
        <v>0</v>
      </c>
      <c r="F360" s="61"/>
    </row>
    <row r="361" spans="1:6" ht="15.75" hidden="1" customHeight="1" outlineLevel="1" x14ac:dyDescent="0.2">
      <c r="A361" s="63" t="s">
        <v>393</v>
      </c>
      <c r="B361" s="80"/>
      <c r="C361" s="80"/>
      <c r="D361" s="80"/>
      <c r="E361" s="78"/>
      <c r="F361" s="61"/>
    </row>
    <row r="362" spans="1:6" ht="22.5" hidden="1" customHeight="1" outlineLevel="1" x14ac:dyDescent="0.2">
      <c r="A362" s="62" t="s">
        <v>394</v>
      </c>
      <c r="B362" s="79">
        <v>240</v>
      </c>
      <c r="C362" s="79" t="s">
        <v>15</v>
      </c>
      <c r="D362" s="83"/>
      <c r="E362" s="90">
        <f>B362*D362</f>
        <v>0</v>
      </c>
      <c r="F362" s="61"/>
    </row>
    <row r="363" spans="1:6" ht="15.75" hidden="1" customHeight="1" outlineLevel="1" x14ac:dyDescent="0.2">
      <c r="A363" s="63" t="s">
        <v>395</v>
      </c>
      <c r="B363" s="80"/>
      <c r="C363" s="80"/>
      <c r="D363" s="80"/>
      <c r="E363" s="78"/>
      <c r="F363" s="61"/>
    </row>
    <row r="364" spans="1:6" ht="22.5" hidden="1" customHeight="1" outlineLevel="2" x14ac:dyDescent="0.2">
      <c r="A364" s="62" t="s">
        <v>396</v>
      </c>
      <c r="B364" s="79">
        <v>460</v>
      </c>
      <c r="C364" s="79" t="s">
        <v>15</v>
      </c>
      <c r="D364" s="83"/>
      <c r="E364" s="90">
        <f>B364*D364</f>
        <v>0</v>
      </c>
      <c r="F364" s="61"/>
    </row>
    <row r="365" spans="1:6" ht="15.75" hidden="1" customHeight="1" outlineLevel="2" x14ac:dyDescent="0.2">
      <c r="A365" s="63" t="s">
        <v>397</v>
      </c>
      <c r="B365" s="80"/>
      <c r="C365" s="80"/>
      <c r="D365" s="80"/>
      <c r="E365" s="78"/>
      <c r="F365" s="61"/>
    </row>
    <row r="366" spans="1:6" ht="22.5" hidden="1" customHeight="1" outlineLevel="2" x14ac:dyDescent="0.2">
      <c r="A366" s="62" t="s">
        <v>398</v>
      </c>
      <c r="B366" s="79">
        <v>620</v>
      </c>
      <c r="C366" s="79" t="s">
        <v>15</v>
      </c>
      <c r="D366" s="83">
        <f>D364</f>
        <v>0</v>
      </c>
      <c r="E366" s="90">
        <f>B366*D366</f>
        <v>0</v>
      </c>
      <c r="F366" s="61"/>
    </row>
    <row r="367" spans="1:6" ht="15.75" hidden="1" customHeight="1" outlineLevel="2" x14ac:dyDescent="0.2">
      <c r="A367" s="63" t="s">
        <v>399</v>
      </c>
      <c r="B367" s="80"/>
      <c r="C367" s="80"/>
      <c r="D367" s="80"/>
      <c r="E367" s="78"/>
      <c r="F367" s="61"/>
    </row>
    <row r="368" spans="1:6" ht="22.5" hidden="1" customHeight="1" outlineLevel="2" x14ac:dyDescent="0.2">
      <c r="A368" s="62" t="s">
        <v>400</v>
      </c>
      <c r="B368" s="79">
        <v>700</v>
      </c>
      <c r="C368" s="79" t="s">
        <v>15</v>
      </c>
      <c r="D368" s="83"/>
      <c r="E368" s="90">
        <f>B368*D368</f>
        <v>0</v>
      </c>
      <c r="F368" s="61"/>
    </row>
    <row r="369" spans="1:6" ht="15.75" hidden="1" customHeight="1" outlineLevel="2" x14ac:dyDescent="0.2">
      <c r="A369" s="63" t="s">
        <v>401</v>
      </c>
      <c r="B369" s="80"/>
      <c r="C369" s="80"/>
      <c r="D369" s="80"/>
      <c r="E369" s="78"/>
      <c r="F369" s="61"/>
    </row>
    <row r="370" spans="1:6" ht="22.5" hidden="1" customHeight="1" outlineLevel="2" x14ac:dyDescent="0.2">
      <c r="A370" s="62" t="s">
        <v>402</v>
      </c>
      <c r="B370" s="79">
        <v>620</v>
      </c>
      <c r="C370" s="79" t="s">
        <v>15</v>
      </c>
      <c r="D370" s="83">
        <f>D368</f>
        <v>0</v>
      </c>
      <c r="E370" s="90">
        <f>B370*D370</f>
        <v>0</v>
      </c>
      <c r="F370" s="61"/>
    </row>
    <row r="371" spans="1:6" ht="15.75" hidden="1" customHeight="1" outlineLevel="2" x14ac:dyDescent="0.2">
      <c r="A371" s="63" t="s">
        <v>403</v>
      </c>
      <c r="B371" s="80"/>
      <c r="C371" s="80"/>
      <c r="D371" s="80"/>
      <c r="E371" s="78"/>
      <c r="F371" s="61"/>
    </row>
    <row r="372" spans="1:6" ht="22.5" hidden="1" customHeight="1" outlineLevel="2" x14ac:dyDescent="0.2">
      <c r="A372" s="62" t="s">
        <v>404</v>
      </c>
      <c r="B372" s="79">
        <v>660</v>
      </c>
      <c r="C372" s="79" t="s">
        <v>15</v>
      </c>
      <c r="D372" s="83"/>
      <c r="E372" s="90">
        <f>B372*D372</f>
        <v>0</v>
      </c>
      <c r="F372" s="61"/>
    </row>
    <row r="373" spans="1:6" ht="15.75" hidden="1" customHeight="1" outlineLevel="2" x14ac:dyDescent="0.2">
      <c r="A373" s="63" t="s">
        <v>405</v>
      </c>
      <c r="B373" s="80"/>
      <c r="C373" s="80"/>
      <c r="D373" s="80"/>
      <c r="E373" s="78"/>
      <c r="F373" s="61"/>
    </row>
    <row r="374" spans="1:6" ht="22.5" hidden="1" customHeight="1" outlineLevel="2" x14ac:dyDescent="0.2">
      <c r="A374" s="62" t="s">
        <v>406</v>
      </c>
      <c r="B374" s="79">
        <v>660</v>
      </c>
      <c r="C374" s="79" t="s">
        <v>15</v>
      </c>
      <c r="D374" s="83">
        <f>D372</f>
        <v>0</v>
      </c>
      <c r="E374" s="90">
        <f>B374*D374</f>
        <v>0</v>
      </c>
      <c r="F374" s="61"/>
    </row>
    <row r="375" spans="1:6" ht="15.75" hidden="1" customHeight="1" outlineLevel="2" x14ac:dyDescent="0.2">
      <c r="A375" s="63" t="s">
        <v>407</v>
      </c>
      <c r="B375" s="80"/>
      <c r="C375" s="80"/>
      <c r="D375" s="80"/>
      <c r="E375" s="78"/>
      <c r="F375" s="61"/>
    </row>
    <row r="376" spans="1:6" ht="22.5" hidden="1" customHeight="1" outlineLevel="1" x14ac:dyDescent="0.2">
      <c r="A376" s="62" t="s">
        <v>408</v>
      </c>
      <c r="B376" s="79">
        <v>310</v>
      </c>
      <c r="C376" s="79" t="s">
        <v>15</v>
      </c>
      <c r="D376" s="83"/>
      <c r="E376" s="90">
        <f>B376*D376</f>
        <v>0</v>
      </c>
      <c r="F376" s="61"/>
    </row>
    <row r="377" spans="1:6" ht="15.75" hidden="1" customHeight="1" outlineLevel="1" x14ac:dyDescent="0.2">
      <c r="A377" s="63" t="s">
        <v>409</v>
      </c>
      <c r="B377" s="80"/>
      <c r="C377" s="80"/>
      <c r="D377" s="80"/>
      <c r="E377" s="78"/>
      <c r="F377" s="61"/>
    </row>
    <row r="378" spans="1:6" ht="22.5" hidden="1" customHeight="1" outlineLevel="1" x14ac:dyDescent="0.2">
      <c r="A378" s="62" t="s">
        <v>410</v>
      </c>
      <c r="B378" s="79">
        <v>310</v>
      </c>
      <c r="C378" s="79" t="s">
        <v>15</v>
      </c>
      <c r="D378" s="83"/>
      <c r="E378" s="90">
        <f>B378*D378</f>
        <v>0</v>
      </c>
      <c r="F378" s="61"/>
    </row>
    <row r="379" spans="1:6" ht="15.75" hidden="1" customHeight="1" outlineLevel="1" x14ac:dyDescent="0.2">
      <c r="A379" s="63" t="s">
        <v>411</v>
      </c>
      <c r="B379" s="80"/>
      <c r="C379" s="80"/>
      <c r="D379" s="80"/>
      <c r="E379" s="78"/>
      <c r="F379" s="61"/>
    </row>
    <row r="380" spans="1:6" ht="22.5" hidden="1" customHeight="1" outlineLevel="1" x14ac:dyDescent="0.2">
      <c r="A380" s="62" t="s">
        <v>412</v>
      </c>
      <c r="B380" s="79">
        <v>310</v>
      </c>
      <c r="C380" s="79" t="s">
        <v>15</v>
      </c>
      <c r="D380" s="83"/>
      <c r="E380" s="90">
        <f>B380*D380</f>
        <v>0</v>
      </c>
      <c r="F380" s="61"/>
    </row>
    <row r="381" spans="1:6" ht="15.75" hidden="1" customHeight="1" outlineLevel="1" x14ac:dyDescent="0.2">
      <c r="A381" s="63" t="s">
        <v>413</v>
      </c>
      <c r="B381" s="80"/>
      <c r="C381" s="80"/>
      <c r="D381" s="80"/>
      <c r="E381" s="78"/>
      <c r="F381" s="61"/>
    </row>
    <row r="382" spans="1:6" ht="22.5" hidden="1" customHeight="1" outlineLevel="1" x14ac:dyDescent="0.2">
      <c r="A382" s="62" t="s">
        <v>414</v>
      </c>
      <c r="B382" s="79">
        <v>310</v>
      </c>
      <c r="C382" s="79" t="s">
        <v>15</v>
      </c>
      <c r="D382" s="83"/>
      <c r="E382" s="90">
        <f>B382*D382</f>
        <v>0</v>
      </c>
      <c r="F382" s="61"/>
    </row>
    <row r="383" spans="1:6" ht="15.75" hidden="1" customHeight="1" outlineLevel="1" x14ac:dyDescent="0.2">
      <c r="A383" s="63" t="s">
        <v>415</v>
      </c>
      <c r="B383" s="80"/>
      <c r="C383" s="80"/>
      <c r="D383" s="80"/>
      <c r="E383" s="78"/>
      <c r="F383" s="61"/>
    </row>
    <row r="384" spans="1:6" ht="11.25" customHeight="1" x14ac:dyDescent="0.2">
      <c r="A384" s="132" t="s">
        <v>12</v>
      </c>
      <c r="B384" s="85"/>
      <c r="C384" s="85"/>
      <c r="D384" s="85"/>
      <c r="E384" s="85"/>
      <c r="F384" s="17"/>
    </row>
    <row r="385" spans="1:6" ht="22.5" customHeight="1" collapsed="1" x14ac:dyDescent="0.2">
      <c r="A385" s="86" t="s">
        <v>416</v>
      </c>
      <c r="B385" s="87"/>
      <c r="C385" s="87"/>
      <c r="D385" s="88"/>
      <c r="E385" s="36"/>
      <c r="F385" s="37">
        <f>SUM(E386:E411)</f>
        <v>0</v>
      </c>
    </row>
    <row r="386" spans="1:6" ht="22.5" hidden="1" customHeight="1" outlineLevel="2" x14ac:dyDescent="0.2">
      <c r="A386" s="62" t="s">
        <v>417</v>
      </c>
      <c r="B386" s="79">
        <v>900</v>
      </c>
      <c r="C386" s="79" t="s">
        <v>15</v>
      </c>
      <c r="D386" s="83"/>
      <c r="E386" s="81">
        <f>B386*D386</f>
        <v>0</v>
      </c>
      <c r="F386" s="61"/>
    </row>
    <row r="387" spans="1:6" ht="15.75" hidden="1" customHeight="1" outlineLevel="2" x14ac:dyDescent="0.2">
      <c r="A387" s="63" t="s">
        <v>418</v>
      </c>
      <c r="B387" s="80"/>
      <c r="C387" s="80"/>
      <c r="D387" s="80"/>
      <c r="E387" s="82"/>
      <c r="F387" s="61"/>
    </row>
    <row r="388" spans="1:6" ht="22.5" hidden="1" customHeight="1" outlineLevel="2" x14ac:dyDescent="0.2">
      <c r="A388" s="62" t="s">
        <v>419</v>
      </c>
      <c r="B388" s="79">
        <v>1100</v>
      </c>
      <c r="C388" s="79" t="s">
        <v>15</v>
      </c>
      <c r="D388" s="83"/>
      <c r="E388" s="81">
        <f>B388*D388</f>
        <v>0</v>
      </c>
      <c r="F388" s="61"/>
    </row>
    <row r="389" spans="1:6" ht="15.75" hidden="1" customHeight="1" outlineLevel="2" x14ac:dyDescent="0.2">
      <c r="A389" s="63" t="s">
        <v>420</v>
      </c>
      <c r="B389" s="80"/>
      <c r="C389" s="80"/>
      <c r="D389" s="80"/>
      <c r="E389" s="82"/>
      <c r="F389" s="61"/>
    </row>
    <row r="390" spans="1:6" ht="22.5" hidden="1" customHeight="1" outlineLevel="1" x14ac:dyDescent="0.2">
      <c r="A390" s="62" t="s">
        <v>421</v>
      </c>
      <c r="B390" s="79">
        <v>200</v>
      </c>
      <c r="C390" s="79" t="s">
        <v>15</v>
      </c>
      <c r="D390" s="83"/>
      <c r="E390" s="81">
        <f>B390*D390</f>
        <v>0</v>
      </c>
      <c r="F390" s="61"/>
    </row>
    <row r="391" spans="1:6" ht="15.75" hidden="1" customHeight="1" outlineLevel="1" x14ac:dyDescent="0.2">
      <c r="A391" s="63" t="s">
        <v>422</v>
      </c>
      <c r="B391" s="80"/>
      <c r="C391" s="80"/>
      <c r="D391" s="80"/>
      <c r="E391" s="82"/>
      <c r="F391" s="61"/>
    </row>
    <row r="392" spans="1:6" ht="22.5" hidden="1" customHeight="1" outlineLevel="1" x14ac:dyDescent="0.2">
      <c r="A392" s="62" t="s">
        <v>423</v>
      </c>
      <c r="B392" s="79">
        <v>250</v>
      </c>
      <c r="C392" s="79" t="s">
        <v>15</v>
      </c>
      <c r="D392" s="83"/>
      <c r="E392" s="81">
        <f>B392*D392</f>
        <v>0</v>
      </c>
      <c r="F392" s="61"/>
    </row>
    <row r="393" spans="1:6" ht="15.75" hidden="1" customHeight="1" outlineLevel="1" x14ac:dyDescent="0.2">
      <c r="A393" s="63" t="s">
        <v>424</v>
      </c>
      <c r="B393" s="80"/>
      <c r="C393" s="80"/>
      <c r="D393" s="80"/>
      <c r="E393" s="82"/>
      <c r="F393" s="61"/>
    </row>
    <row r="394" spans="1:6" ht="22.5" hidden="1" customHeight="1" outlineLevel="1" x14ac:dyDescent="0.2">
      <c r="A394" s="62" t="s">
        <v>425</v>
      </c>
      <c r="B394" s="79">
        <v>500</v>
      </c>
      <c r="C394" s="79" t="s">
        <v>15</v>
      </c>
      <c r="D394" s="83"/>
      <c r="E394" s="81">
        <f>B394*D394</f>
        <v>0</v>
      </c>
      <c r="F394" s="61"/>
    </row>
    <row r="395" spans="1:6" ht="15.75" hidden="1" customHeight="1" outlineLevel="1" x14ac:dyDescent="0.2">
      <c r="A395" s="63" t="s">
        <v>426</v>
      </c>
      <c r="B395" s="80"/>
      <c r="C395" s="80"/>
      <c r="D395" s="80"/>
      <c r="E395" s="82"/>
      <c r="F395" s="61"/>
    </row>
    <row r="396" spans="1:6" ht="22.5" hidden="1" customHeight="1" outlineLevel="2" x14ac:dyDescent="0.2">
      <c r="A396" s="62" t="s">
        <v>427</v>
      </c>
      <c r="B396" s="79">
        <v>300</v>
      </c>
      <c r="C396" s="79" t="s">
        <v>15</v>
      </c>
      <c r="D396" s="83"/>
      <c r="E396" s="81">
        <f>B396*D396</f>
        <v>0</v>
      </c>
      <c r="F396" s="61"/>
    </row>
    <row r="397" spans="1:6" ht="15.75" hidden="1" customHeight="1" outlineLevel="2" x14ac:dyDescent="0.2">
      <c r="A397" s="63" t="s">
        <v>428</v>
      </c>
      <c r="B397" s="80"/>
      <c r="C397" s="80"/>
      <c r="D397" s="80"/>
      <c r="E397" s="82"/>
      <c r="F397" s="61"/>
    </row>
    <row r="398" spans="1:6" ht="22.5" hidden="1" customHeight="1" outlineLevel="2" x14ac:dyDescent="0.2">
      <c r="A398" s="62" t="s">
        <v>429</v>
      </c>
      <c r="B398" s="79">
        <v>350</v>
      </c>
      <c r="C398" s="79" t="s">
        <v>15</v>
      </c>
      <c r="D398" s="83"/>
      <c r="E398" s="81">
        <f>B398*D398</f>
        <v>0</v>
      </c>
      <c r="F398" s="61"/>
    </row>
    <row r="399" spans="1:6" ht="15.75" hidden="1" customHeight="1" outlineLevel="2" x14ac:dyDescent="0.2">
      <c r="A399" s="63" t="s">
        <v>430</v>
      </c>
      <c r="B399" s="80"/>
      <c r="C399" s="80"/>
      <c r="D399" s="80"/>
      <c r="E399" s="82"/>
      <c r="F399" s="61"/>
    </row>
    <row r="400" spans="1:6" ht="22.5" hidden="1" customHeight="1" outlineLevel="2" x14ac:dyDescent="0.2">
      <c r="A400" s="62" t="s">
        <v>431</v>
      </c>
      <c r="B400" s="79">
        <v>700</v>
      </c>
      <c r="C400" s="79" t="s">
        <v>15</v>
      </c>
      <c r="D400" s="83"/>
      <c r="E400" s="81">
        <f>B400*D400</f>
        <v>0</v>
      </c>
      <c r="F400" s="61"/>
    </row>
    <row r="401" spans="1:6" ht="15.75" hidden="1" customHeight="1" outlineLevel="2" x14ac:dyDescent="0.2">
      <c r="A401" s="63" t="s">
        <v>432</v>
      </c>
      <c r="B401" s="80"/>
      <c r="C401" s="80"/>
      <c r="D401" s="80"/>
      <c r="E401" s="82"/>
      <c r="F401" s="61"/>
    </row>
    <row r="402" spans="1:6" ht="22.5" hidden="1" customHeight="1" outlineLevel="2" x14ac:dyDescent="0.2">
      <c r="A402" s="62" t="s">
        <v>433</v>
      </c>
      <c r="B402" s="79">
        <v>500</v>
      </c>
      <c r="C402" s="79" t="s">
        <v>15</v>
      </c>
      <c r="D402" s="83"/>
      <c r="E402" s="81">
        <f>B402*D402</f>
        <v>0</v>
      </c>
      <c r="F402" s="61"/>
    </row>
    <row r="403" spans="1:6" ht="15.75" hidden="1" customHeight="1" outlineLevel="2" x14ac:dyDescent="0.2">
      <c r="A403" s="63" t="s">
        <v>434</v>
      </c>
      <c r="B403" s="80"/>
      <c r="C403" s="80"/>
      <c r="D403" s="80"/>
      <c r="E403" s="82"/>
      <c r="F403" s="61"/>
    </row>
    <row r="404" spans="1:6" ht="22.5" hidden="1" customHeight="1" outlineLevel="2" x14ac:dyDescent="0.2">
      <c r="A404" s="62" t="s">
        <v>435</v>
      </c>
      <c r="B404" s="79">
        <v>800</v>
      </c>
      <c r="C404" s="79" t="s">
        <v>15</v>
      </c>
      <c r="D404" s="83"/>
      <c r="E404" s="81">
        <f>B404*D404</f>
        <v>0</v>
      </c>
      <c r="F404" s="61"/>
    </row>
    <row r="405" spans="1:6" ht="15.75" hidden="1" customHeight="1" outlineLevel="2" x14ac:dyDescent="0.2">
      <c r="A405" s="63" t="s">
        <v>436</v>
      </c>
      <c r="B405" s="80"/>
      <c r="C405" s="80"/>
      <c r="D405" s="80"/>
      <c r="E405" s="82"/>
      <c r="F405" s="61"/>
    </row>
    <row r="406" spans="1:6" ht="22.5" hidden="1" customHeight="1" outlineLevel="2" x14ac:dyDescent="0.2">
      <c r="A406" s="62" t="s">
        <v>437</v>
      </c>
      <c r="B406" s="79">
        <v>500</v>
      </c>
      <c r="C406" s="79" t="s">
        <v>15</v>
      </c>
      <c r="D406" s="83"/>
      <c r="E406" s="81">
        <f>B406*D406</f>
        <v>0</v>
      </c>
      <c r="F406" s="61"/>
    </row>
    <row r="407" spans="1:6" ht="15.75" hidden="1" customHeight="1" outlineLevel="2" x14ac:dyDescent="0.2">
      <c r="A407" s="63" t="s">
        <v>438</v>
      </c>
      <c r="B407" s="80"/>
      <c r="C407" s="80"/>
      <c r="D407" s="80"/>
      <c r="E407" s="82"/>
      <c r="F407" s="61"/>
    </row>
    <row r="408" spans="1:6" ht="22.5" hidden="1" customHeight="1" outlineLevel="2" x14ac:dyDescent="0.2">
      <c r="A408" s="62" t="s">
        <v>439</v>
      </c>
      <c r="B408" s="79">
        <v>800</v>
      </c>
      <c r="C408" s="79" t="s">
        <v>15</v>
      </c>
      <c r="D408" s="83"/>
      <c r="E408" s="81">
        <f>B408*D408</f>
        <v>0</v>
      </c>
      <c r="F408" s="61"/>
    </row>
    <row r="409" spans="1:6" ht="15.75" hidden="1" customHeight="1" outlineLevel="2" x14ac:dyDescent="0.2">
      <c r="A409" s="63" t="s">
        <v>440</v>
      </c>
      <c r="B409" s="80"/>
      <c r="C409" s="80"/>
      <c r="D409" s="80"/>
      <c r="E409" s="82"/>
      <c r="F409" s="61"/>
    </row>
    <row r="410" spans="1:6" ht="22.5" hidden="1" customHeight="1" outlineLevel="2" x14ac:dyDescent="0.2">
      <c r="A410" s="62" t="s">
        <v>441</v>
      </c>
      <c r="B410" s="79" t="s">
        <v>32</v>
      </c>
      <c r="C410" s="79" t="s">
        <v>15</v>
      </c>
      <c r="D410" s="83"/>
      <c r="E410" s="81"/>
      <c r="F410" s="61"/>
    </row>
    <row r="411" spans="1:6" ht="15.75" hidden="1" customHeight="1" outlineLevel="2" x14ac:dyDescent="0.2">
      <c r="A411" s="63" t="s">
        <v>442</v>
      </c>
      <c r="B411" s="80"/>
      <c r="C411" s="80"/>
      <c r="D411" s="80"/>
      <c r="E411" s="82"/>
      <c r="F411" s="61"/>
    </row>
    <row r="412" spans="1:6" ht="11.25" customHeight="1" x14ac:dyDescent="0.2">
      <c r="A412" s="132" t="s">
        <v>12</v>
      </c>
      <c r="B412" s="85"/>
      <c r="C412" s="85"/>
      <c r="D412" s="85"/>
      <c r="E412" s="85"/>
      <c r="F412" s="17"/>
    </row>
    <row r="413" spans="1:6" ht="22.5" customHeight="1" collapsed="1" x14ac:dyDescent="0.2">
      <c r="A413" s="86" t="s">
        <v>443</v>
      </c>
      <c r="B413" s="87"/>
      <c r="C413" s="87"/>
      <c r="D413" s="88"/>
      <c r="E413" s="36"/>
      <c r="F413" s="37">
        <f>(E414+E416+SUM(E422:E441))</f>
        <v>0</v>
      </c>
    </row>
    <row r="414" spans="1:6" ht="22.5" hidden="1" customHeight="1" outlineLevel="1" x14ac:dyDescent="0.2">
      <c r="A414" s="62" t="s">
        <v>444</v>
      </c>
      <c r="B414" s="79">
        <v>5</v>
      </c>
      <c r="C414" s="79" t="s">
        <v>445</v>
      </c>
      <c r="D414" s="83"/>
      <c r="E414" s="81">
        <f>B414*D414</f>
        <v>0</v>
      </c>
      <c r="F414" s="141" t="s">
        <v>446</v>
      </c>
    </row>
    <row r="415" spans="1:6" ht="15.75" hidden="1" customHeight="1" outlineLevel="1" x14ac:dyDescent="0.2">
      <c r="A415" s="63" t="s">
        <v>447</v>
      </c>
      <c r="B415" s="80"/>
      <c r="C415" s="80"/>
      <c r="D415" s="80"/>
      <c r="E415" s="82"/>
      <c r="F415" s="78"/>
    </row>
    <row r="416" spans="1:6" ht="22.5" hidden="1" customHeight="1" outlineLevel="2" x14ac:dyDescent="0.2">
      <c r="A416" s="56" t="s">
        <v>448</v>
      </c>
      <c r="B416" s="20"/>
      <c r="C416" s="20" t="s">
        <v>38</v>
      </c>
      <c r="D416" s="29"/>
      <c r="E416" s="30">
        <f>SUM(F417:F421)</f>
        <v>0</v>
      </c>
      <c r="F416" s="61"/>
    </row>
    <row r="417" spans="1:6" ht="15.75" hidden="1" customHeight="1" outlineLevel="2" x14ac:dyDescent="0.2">
      <c r="A417" s="65" t="s">
        <v>449</v>
      </c>
      <c r="B417" s="20">
        <v>4.5</v>
      </c>
      <c r="C417" s="20" t="s">
        <v>38</v>
      </c>
      <c r="D417" s="29"/>
      <c r="E417" s="30"/>
      <c r="F417" s="30">
        <f t="shared" ref="F417:F421" si="1">B417*D417</f>
        <v>0</v>
      </c>
    </row>
    <row r="418" spans="1:6" ht="15.75" hidden="1" customHeight="1" outlineLevel="2" x14ac:dyDescent="0.2">
      <c r="A418" s="65" t="s">
        <v>450</v>
      </c>
      <c r="B418" s="20">
        <v>1</v>
      </c>
      <c r="C418" s="20" t="s">
        <v>38</v>
      </c>
      <c r="D418" s="29"/>
      <c r="E418" s="30"/>
      <c r="F418" s="30">
        <f t="shared" si="1"/>
        <v>0</v>
      </c>
    </row>
    <row r="419" spans="1:6" ht="15.75" hidden="1" customHeight="1" outlineLevel="2" x14ac:dyDescent="0.2">
      <c r="A419" s="65" t="s">
        <v>451</v>
      </c>
      <c r="B419" s="20">
        <v>1.9</v>
      </c>
      <c r="C419" s="20" t="s">
        <v>38</v>
      </c>
      <c r="D419" s="29"/>
      <c r="E419" s="30"/>
      <c r="F419" s="30">
        <f t="shared" si="1"/>
        <v>0</v>
      </c>
    </row>
    <row r="420" spans="1:6" ht="15.75" hidden="1" customHeight="1" outlineLevel="2" x14ac:dyDescent="0.2">
      <c r="A420" s="65" t="s">
        <v>452</v>
      </c>
      <c r="B420" s="20">
        <v>1.4</v>
      </c>
      <c r="C420" s="20" t="s">
        <v>38</v>
      </c>
      <c r="D420" s="29"/>
      <c r="E420" s="30"/>
      <c r="F420" s="30">
        <f t="shared" si="1"/>
        <v>0</v>
      </c>
    </row>
    <row r="421" spans="1:6" ht="15.75" hidden="1" customHeight="1" outlineLevel="2" x14ac:dyDescent="0.2">
      <c r="A421" s="66" t="s">
        <v>453</v>
      </c>
      <c r="B421" s="20">
        <v>1.4</v>
      </c>
      <c r="C421" s="20" t="s">
        <v>38</v>
      </c>
      <c r="D421" s="29"/>
      <c r="E421" s="30"/>
      <c r="F421" s="30">
        <f t="shared" si="1"/>
        <v>0</v>
      </c>
    </row>
    <row r="422" spans="1:6" ht="22.5" hidden="1" customHeight="1" outlineLevel="1" x14ac:dyDescent="0.2">
      <c r="A422" s="62" t="s">
        <v>454</v>
      </c>
      <c r="B422" s="79">
        <v>2</v>
      </c>
      <c r="C422" s="79" t="s">
        <v>445</v>
      </c>
      <c r="D422" s="83"/>
      <c r="E422" s="81">
        <f>B422*D422</f>
        <v>0</v>
      </c>
      <c r="F422" s="141" t="s">
        <v>455</v>
      </c>
    </row>
    <row r="423" spans="1:6" ht="15.75" hidden="1" customHeight="1" outlineLevel="1" x14ac:dyDescent="0.2">
      <c r="A423" s="63" t="s">
        <v>456</v>
      </c>
      <c r="B423" s="80"/>
      <c r="C423" s="80"/>
      <c r="D423" s="80"/>
      <c r="E423" s="82"/>
      <c r="F423" s="78"/>
    </row>
    <row r="424" spans="1:6" ht="22.5" hidden="1" customHeight="1" outlineLevel="1" x14ac:dyDescent="0.2">
      <c r="A424" s="62" t="s">
        <v>457</v>
      </c>
      <c r="B424" s="79">
        <v>1.1000000000000001</v>
      </c>
      <c r="C424" s="79" t="s">
        <v>445</v>
      </c>
      <c r="D424" s="83"/>
      <c r="E424" s="81">
        <f>B424*D424</f>
        <v>0</v>
      </c>
      <c r="F424" s="61"/>
    </row>
    <row r="425" spans="1:6" ht="15.75" hidden="1" customHeight="1" outlineLevel="1" x14ac:dyDescent="0.2">
      <c r="A425" s="63" t="s">
        <v>458</v>
      </c>
      <c r="B425" s="80"/>
      <c r="C425" s="80"/>
      <c r="D425" s="80"/>
      <c r="E425" s="82"/>
      <c r="F425" s="61"/>
    </row>
    <row r="426" spans="1:6" ht="22.5" hidden="1" customHeight="1" outlineLevel="2" x14ac:dyDescent="0.2">
      <c r="A426" s="62" t="s">
        <v>459</v>
      </c>
      <c r="B426" s="79">
        <v>2.1</v>
      </c>
      <c r="C426" s="79" t="s">
        <v>445</v>
      </c>
      <c r="D426" s="83"/>
      <c r="E426" s="81">
        <f>B426*D426</f>
        <v>0</v>
      </c>
      <c r="F426" s="61"/>
    </row>
    <row r="427" spans="1:6" ht="15.75" hidden="1" customHeight="1" outlineLevel="2" x14ac:dyDescent="0.2">
      <c r="A427" s="63" t="s">
        <v>460</v>
      </c>
      <c r="B427" s="80"/>
      <c r="C427" s="80"/>
      <c r="D427" s="80"/>
      <c r="E427" s="82"/>
      <c r="F427" s="61"/>
    </row>
    <row r="428" spans="1:6" ht="22.5" hidden="1" customHeight="1" outlineLevel="1" x14ac:dyDescent="0.2">
      <c r="A428" s="62" t="s">
        <v>461</v>
      </c>
      <c r="B428" s="79">
        <v>3.5</v>
      </c>
      <c r="C428" s="79" t="s">
        <v>59</v>
      </c>
      <c r="D428" s="83"/>
      <c r="E428" s="81">
        <f>B428*D428</f>
        <v>0</v>
      </c>
      <c r="F428" s="131" t="s">
        <v>817</v>
      </c>
    </row>
    <row r="429" spans="1:6" ht="15.75" hidden="1" customHeight="1" outlineLevel="1" x14ac:dyDescent="0.2">
      <c r="A429" s="63" t="s">
        <v>463</v>
      </c>
      <c r="B429" s="80"/>
      <c r="C429" s="80"/>
      <c r="D429" s="80"/>
      <c r="E429" s="82"/>
      <c r="F429" s="78"/>
    </row>
    <row r="430" spans="1:6" ht="22.5" hidden="1" customHeight="1" outlineLevel="2" x14ac:dyDescent="0.2">
      <c r="A430" s="62" t="s">
        <v>464</v>
      </c>
      <c r="B430" s="79">
        <v>3.5</v>
      </c>
      <c r="C430" s="79" t="s">
        <v>59</v>
      </c>
      <c r="D430" s="83"/>
      <c r="E430" s="103">
        <f>B430*D430</f>
        <v>0</v>
      </c>
      <c r="F430" s="67"/>
    </row>
    <row r="431" spans="1:6" ht="15.75" hidden="1" customHeight="1" outlineLevel="2" x14ac:dyDescent="0.2">
      <c r="A431" s="63" t="s">
        <v>465</v>
      </c>
      <c r="B431" s="80"/>
      <c r="C431" s="80"/>
      <c r="D431" s="80"/>
      <c r="E431" s="82"/>
      <c r="F431" s="61">
        <v>5300</v>
      </c>
    </row>
    <row r="432" spans="1:6" ht="22.5" hidden="1" customHeight="1" outlineLevel="2" x14ac:dyDescent="0.2">
      <c r="A432" s="62" t="s">
        <v>466</v>
      </c>
      <c r="B432" s="79">
        <v>300</v>
      </c>
      <c r="C432" s="79" t="s">
        <v>15</v>
      </c>
      <c r="D432" s="83"/>
      <c r="E432" s="81">
        <f>B432*D432</f>
        <v>0</v>
      </c>
      <c r="F432" s="61"/>
    </row>
    <row r="433" spans="1:6" ht="15.75" hidden="1" customHeight="1" outlineLevel="2" x14ac:dyDescent="0.2">
      <c r="A433" s="63" t="s">
        <v>467</v>
      </c>
      <c r="B433" s="80"/>
      <c r="C433" s="80"/>
      <c r="D433" s="80"/>
      <c r="E433" s="82"/>
      <c r="F433" s="61"/>
    </row>
    <row r="434" spans="1:6" ht="22.5" hidden="1" customHeight="1" outlineLevel="2" x14ac:dyDescent="0.2">
      <c r="A434" s="62" t="s">
        <v>468</v>
      </c>
      <c r="B434" s="79">
        <v>13</v>
      </c>
      <c r="C434" s="79" t="s">
        <v>38</v>
      </c>
      <c r="D434" s="83"/>
      <c r="E434" s="81">
        <f>B434*D434</f>
        <v>0</v>
      </c>
      <c r="F434" s="131" t="s">
        <v>469</v>
      </c>
    </row>
    <row r="435" spans="1:6" ht="15.75" hidden="1" customHeight="1" outlineLevel="2" x14ac:dyDescent="0.2">
      <c r="A435" s="63" t="s">
        <v>470</v>
      </c>
      <c r="B435" s="80"/>
      <c r="C435" s="80"/>
      <c r="D435" s="80"/>
      <c r="E435" s="82"/>
      <c r="F435" s="78"/>
    </row>
    <row r="436" spans="1:6" ht="22.5" hidden="1" customHeight="1" outlineLevel="2" x14ac:dyDescent="0.2">
      <c r="A436" s="62" t="s">
        <v>471</v>
      </c>
      <c r="B436" s="79">
        <v>14</v>
      </c>
      <c r="C436" s="79" t="s">
        <v>38</v>
      </c>
      <c r="D436" s="83"/>
      <c r="E436" s="81">
        <f>B436*D436</f>
        <v>0</v>
      </c>
      <c r="F436" s="131" t="s">
        <v>472</v>
      </c>
    </row>
    <row r="437" spans="1:6" ht="15.75" hidden="1" customHeight="1" outlineLevel="2" x14ac:dyDescent="0.2">
      <c r="A437" s="63" t="s">
        <v>473</v>
      </c>
      <c r="B437" s="80"/>
      <c r="C437" s="80"/>
      <c r="D437" s="80"/>
      <c r="E437" s="82"/>
      <c r="F437" s="78"/>
    </row>
    <row r="438" spans="1:6" ht="22.5" hidden="1" customHeight="1" outlineLevel="2" x14ac:dyDescent="0.2">
      <c r="A438" s="62" t="s">
        <v>474</v>
      </c>
      <c r="B438" s="79">
        <v>16</v>
      </c>
      <c r="C438" s="79" t="s">
        <v>38</v>
      </c>
      <c r="D438" s="83"/>
      <c r="E438" s="81">
        <f>B438*D438</f>
        <v>0</v>
      </c>
      <c r="F438" s="131" t="s">
        <v>472</v>
      </c>
    </row>
    <row r="439" spans="1:6" ht="15.75" hidden="1" customHeight="1" outlineLevel="2" x14ac:dyDescent="0.2">
      <c r="A439" s="63" t="s">
        <v>475</v>
      </c>
      <c r="B439" s="80"/>
      <c r="C439" s="80"/>
      <c r="D439" s="80"/>
      <c r="E439" s="82"/>
      <c r="F439" s="78"/>
    </row>
    <row r="440" spans="1:6" ht="22.5" hidden="1" customHeight="1" outlineLevel="2" x14ac:dyDescent="0.2">
      <c r="A440" s="62" t="s">
        <v>476</v>
      </c>
      <c r="B440" s="79">
        <v>400</v>
      </c>
      <c r="C440" s="79" t="s">
        <v>15</v>
      </c>
      <c r="D440" s="83"/>
      <c r="E440" s="81">
        <f>B440*D440</f>
        <v>0</v>
      </c>
      <c r="F440" s="61"/>
    </row>
    <row r="441" spans="1:6" ht="15.75" hidden="1" customHeight="1" outlineLevel="2" x14ac:dyDescent="0.2">
      <c r="A441" s="63" t="s">
        <v>477</v>
      </c>
      <c r="B441" s="80"/>
      <c r="C441" s="80"/>
      <c r="D441" s="80"/>
      <c r="E441" s="82"/>
      <c r="F441" s="61"/>
    </row>
    <row r="442" spans="1:6" ht="11.25" customHeight="1" x14ac:dyDescent="0.2">
      <c r="A442" s="132" t="s">
        <v>12</v>
      </c>
      <c r="B442" s="85"/>
      <c r="C442" s="85"/>
      <c r="D442" s="85"/>
      <c r="E442" s="85"/>
      <c r="F442" s="17"/>
    </row>
    <row r="443" spans="1:6" ht="22.5" customHeight="1" collapsed="1" x14ac:dyDescent="0.2">
      <c r="A443" s="86" t="s">
        <v>478</v>
      </c>
      <c r="B443" s="87"/>
      <c r="C443" s="87"/>
      <c r="D443" s="88"/>
      <c r="E443" s="36"/>
      <c r="F443" s="37">
        <f>SUM(E444:E463)</f>
        <v>0</v>
      </c>
    </row>
    <row r="444" spans="1:6" ht="22.5" hidden="1" customHeight="1" outlineLevel="1" x14ac:dyDescent="0.2">
      <c r="A444" s="68" t="s">
        <v>479</v>
      </c>
      <c r="B444" s="79">
        <v>7</v>
      </c>
      <c r="C444" s="79" t="s">
        <v>480</v>
      </c>
      <c r="D444" s="83"/>
      <c r="E444" s="81">
        <f>B444*D444</f>
        <v>0</v>
      </c>
      <c r="F444" s="61"/>
    </row>
    <row r="445" spans="1:6" ht="15.75" hidden="1" customHeight="1" outlineLevel="1" x14ac:dyDescent="0.2">
      <c r="A445" s="63" t="s">
        <v>481</v>
      </c>
      <c r="B445" s="80"/>
      <c r="C445" s="80"/>
      <c r="D445" s="80"/>
      <c r="E445" s="82"/>
      <c r="F445" s="61"/>
    </row>
    <row r="446" spans="1:6" ht="22.5" hidden="1" customHeight="1" outlineLevel="1" x14ac:dyDescent="0.2">
      <c r="A446" s="62" t="s">
        <v>482</v>
      </c>
      <c r="B446" s="79">
        <v>7.9</v>
      </c>
      <c r="C446" s="79" t="s">
        <v>480</v>
      </c>
      <c r="D446" s="83"/>
      <c r="E446" s="90">
        <f>B446*D446</f>
        <v>0</v>
      </c>
      <c r="F446" s="61"/>
    </row>
    <row r="447" spans="1:6" ht="15.75" hidden="1" customHeight="1" outlineLevel="1" x14ac:dyDescent="0.2">
      <c r="A447" s="63" t="s">
        <v>483</v>
      </c>
      <c r="B447" s="80"/>
      <c r="C447" s="80"/>
      <c r="D447" s="80"/>
      <c r="E447" s="78"/>
      <c r="F447" s="61"/>
    </row>
    <row r="448" spans="1:6" ht="22.5" hidden="1" customHeight="1" outlineLevel="2" x14ac:dyDescent="0.2">
      <c r="A448" s="62" t="s">
        <v>484</v>
      </c>
      <c r="B448" s="79">
        <v>700</v>
      </c>
      <c r="C448" s="79" t="s">
        <v>15</v>
      </c>
      <c r="D448" s="83"/>
      <c r="E448" s="90">
        <f>B448*D448</f>
        <v>0</v>
      </c>
      <c r="F448" s="61"/>
    </row>
    <row r="449" spans="1:6" ht="15.75" hidden="1" customHeight="1" outlineLevel="2" x14ac:dyDescent="0.2">
      <c r="A449" s="63" t="s">
        <v>485</v>
      </c>
      <c r="B449" s="80"/>
      <c r="C449" s="80"/>
      <c r="D449" s="80"/>
      <c r="E449" s="78"/>
      <c r="F449" s="61"/>
    </row>
    <row r="450" spans="1:6" ht="22.5" hidden="1" customHeight="1" outlineLevel="2" x14ac:dyDescent="0.2">
      <c r="A450" s="62" t="s">
        <v>486</v>
      </c>
      <c r="B450" s="79">
        <v>600</v>
      </c>
      <c r="C450" s="79" t="s">
        <v>15</v>
      </c>
      <c r="D450" s="83"/>
      <c r="E450" s="90">
        <f>B450*D450</f>
        <v>0</v>
      </c>
      <c r="F450" s="61"/>
    </row>
    <row r="451" spans="1:6" ht="15.75" hidden="1" customHeight="1" outlineLevel="2" x14ac:dyDescent="0.2">
      <c r="A451" s="63" t="s">
        <v>487</v>
      </c>
      <c r="B451" s="80"/>
      <c r="C451" s="80"/>
      <c r="D451" s="80"/>
      <c r="E451" s="78"/>
      <c r="F451" s="61"/>
    </row>
    <row r="452" spans="1:6" ht="22.5" hidden="1" customHeight="1" outlineLevel="2" x14ac:dyDescent="0.2">
      <c r="A452" s="62" t="s">
        <v>488</v>
      </c>
      <c r="B452" s="79">
        <v>300</v>
      </c>
      <c r="C452" s="79" t="s">
        <v>15</v>
      </c>
      <c r="D452" s="83"/>
      <c r="E452" s="90">
        <f>B452*D452</f>
        <v>0</v>
      </c>
      <c r="F452" s="61"/>
    </row>
    <row r="453" spans="1:6" ht="15.75" hidden="1" customHeight="1" outlineLevel="2" x14ac:dyDescent="0.2">
      <c r="A453" s="63" t="s">
        <v>489</v>
      </c>
      <c r="B453" s="80"/>
      <c r="C453" s="80"/>
      <c r="D453" s="80"/>
      <c r="E453" s="78"/>
      <c r="F453" s="61"/>
    </row>
    <row r="454" spans="1:6" ht="22.5" hidden="1" customHeight="1" outlineLevel="2" x14ac:dyDescent="0.2">
      <c r="A454" s="62" t="s">
        <v>490</v>
      </c>
      <c r="B454" s="79">
        <v>20</v>
      </c>
      <c r="C454" s="79" t="s">
        <v>38</v>
      </c>
      <c r="D454" s="83"/>
      <c r="E454" s="90">
        <f>B454*D454</f>
        <v>0</v>
      </c>
      <c r="F454" s="61"/>
    </row>
    <row r="455" spans="1:6" ht="15.75" hidden="1" customHeight="1" outlineLevel="2" x14ac:dyDescent="0.2">
      <c r="A455" s="63" t="s">
        <v>491</v>
      </c>
      <c r="B455" s="80"/>
      <c r="C455" s="80"/>
      <c r="D455" s="80"/>
      <c r="E455" s="78"/>
      <c r="F455" s="61"/>
    </row>
    <row r="456" spans="1:6" ht="22.5" hidden="1" customHeight="1" outlineLevel="2" x14ac:dyDescent="0.2">
      <c r="A456" s="62" t="s">
        <v>492</v>
      </c>
      <c r="B456" s="79">
        <v>6</v>
      </c>
      <c r="C456" s="79" t="s">
        <v>38</v>
      </c>
      <c r="D456" s="83"/>
      <c r="E456" s="90">
        <f>B456*D456</f>
        <v>0</v>
      </c>
      <c r="F456" s="61"/>
    </row>
    <row r="457" spans="1:6" ht="15.75" hidden="1" customHeight="1" outlineLevel="2" x14ac:dyDescent="0.2">
      <c r="A457" s="63" t="s">
        <v>493</v>
      </c>
      <c r="B457" s="80"/>
      <c r="C457" s="80"/>
      <c r="D457" s="80"/>
      <c r="E457" s="78"/>
      <c r="F457" s="61"/>
    </row>
    <row r="458" spans="1:6" ht="22.5" hidden="1" customHeight="1" outlineLevel="2" x14ac:dyDescent="0.2">
      <c r="A458" s="62" t="s">
        <v>494</v>
      </c>
      <c r="B458" s="79">
        <v>15</v>
      </c>
      <c r="C458" s="79" t="s">
        <v>15</v>
      </c>
      <c r="D458" s="83"/>
      <c r="E458" s="90">
        <f>B458*D458</f>
        <v>0</v>
      </c>
      <c r="F458" s="61"/>
    </row>
    <row r="459" spans="1:6" ht="15.75" hidden="1" customHeight="1" outlineLevel="2" x14ac:dyDescent="0.2">
      <c r="A459" s="63" t="s">
        <v>495</v>
      </c>
      <c r="B459" s="80"/>
      <c r="C459" s="80"/>
      <c r="D459" s="80"/>
      <c r="E459" s="78"/>
      <c r="F459" s="61"/>
    </row>
    <row r="460" spans="1:6" ht="22.5" hidden="1" customHeight="1" outlineLevel="1" x14ac:dyDescent="0.2">
      <c r="A460" s="62" t="s">
        <v>496</v>
      </c>
      <c r="B460" s="79">
        <v>3</v>
      </c>
      <c r="C460" s="79" t="s">
        <v>59</v>
      </c>
      <c r="D460" s="83"/>
      <c r="E460" s="90">
        <f>B460*D460</f>
        <v>0</v>
      </c>
      <c r="F460" s="131" t="s">
        <v>818</v>
      </c>
    </row>
    <row r="461" spans="1:6" ht="15.75" hidden="1" customHeight="1" outlineLevel="1" x14ac:dyDescent="0.2">
      <c r="A461" s="63" t="s">
        <v>498</v>
      </c>
      <c r="B461" s="80"/>
      <c r="C461" s="80"/>
      <c r="D461" s="80"/>
      <c r="E461" s="78"/>
      <c r="F461" s="78"/>
    </row>
    <row r="462" spans="1:6" ht="22.5" hidden="1" customHeight="1" outlineLevel="2" x14ac:dyDescent="0.2">
      <c r="A462" s="62" t="s">
        <v>499</v>
      </c>
      <c r="B462" s="79">
        <v>300</v>
      </c>
      <c r="C462" s="79" t="s">
        <v>15</v>
      </c>
      <c r="D462" s="83"/>
      <c r="E462" s="90">
        <f>B462*D462</f>
        <v>0</v>
      </c>
      <c r="F462" s="61"/>
    </row>
    <row r="463" spans="1:6" ht="15.75" hidden="1" customHeight="1" outlineLevel="2" x14ac:dyDescent="0.2">
      <c r="A463" s="63" t="s">
        <v>500</v>
      </c>
      <c r="B463" s="80"/>
      <c r="C463" s="80"/>
      <c r="D463" s="80"/>
      <c r="E463" s="78"/>
      <c r="F463" s="61"/>
    </row>
    <row r="464" spans="1:6" ht="11.25" customHeight="1" x14ac:dyDescent="0.2">
      <c r="A464" s="132" t="s">
        <v>12</v>
      </c>
      <c r="B464" s="85"/>
      <c r="C464" s="85"/>
      <c r="D464" s="85"/>
      <c r="E464" s="85"/>
      <c r="F464" s="17"/>
    </row>
    <row r="465" spans="1:6" ht="22.5" customHeight="1" collapsed="1" x14ac:dyDescent="0.2">
      <c r="A465" s="86" t="s">
        <v>501</v>
      </c>
      <c r="B465" s="87"/>
      <c r="C465" s="87"/>
      <c r="D465" s="88"/>
      <c r="E465" s="36"/>
      <c r="F465" s="37">
        <f>SUM(E466:E503)</f>
        <v>0</v>
      </c>
    </row>
    <row r="466" spans="1:6" ht="22.5" hidden="1" customHeight="1" outlineLevel="1" x14ac:dyDescent="0.2">
      <c r="A466" s="62" t="s">
        <v>502</v>
      </c>
      <c r="B466" s="79">
        <v>1000</v>
      </c>
      <c r="C466" s="79" t="s">
        <v>15</v>
      </c>
      <c r="D466" s="83"/>
      <c r="E466" s="81">
        <f>B466*D466</f>
        <v>0</v>
      </c>
      <c r="F466" s="61"/>
    </row>
    <row r="467" spans="1:6" ht="15.75" hidden="1" customHeight="1" outlineLevel="1" x14ac:dyDescent="0.2">
      <c r="A467" s="63" t="s">
        <v>503</v>
      </c>
      <c r="B467" s="80"/>
      <c r="C467" s="80"/>
      <c r="D467" s="80"/>
      <c r="E467" s="82"/>
      <c r="F467" s="61"/>
    </row>
    <row r="468" spans="1:6" ht="22.5" hidden="1" customHeight="1" outlineLevel="1" x14ac:dyDescent="0.2">
      <c r="A468" s="62" t="s">
        <v>504</v>
      </c>
      <c r="B468" s="79">
        <v>2500</v>
      </c>
      <c r="C468" s="79" t="s">
        <v>15</v>
      </c>
      <c r="D468" s="83"/>
      <c r="E468" s="81">
        <f>B468*D468</f>
        <v>0</v>
      </c>
      <c r="F468" s="131" t="s">
        <v>505</v>
      </c>
    </row>
    <row r="469" spans="1:6" ht="15.75" hidden="1" customHeight="1" outlineLevel="1" x14ac:dyDescent="0.2">
      <c r="A469" s="63" t="s">
        <v>506</v>
      </c>
      <c r="B469" s="80"/>
      <c r="C469" s="80"/>
      <c r="D469" s="80"/>
      <c r="E469" s="82"/>
      <c r="F469" s="78"/>
    </row>
    <row r="470" spans="1:6" ht="22.5" hidden="1" customHeight="1" outlineLevel="1" x14ac:dyDescent="0.2">
      <c r="A470" s="62" t="s">
        <v>507</v>
      </c>
      <c r="B470" s="79">
        <v>8</v>
      </c>
      <c r="C470" s="79" t="s">
        <v>38</v>
      </c>
      <c r="D470" s="83"/>
      <c r="E470" s="81">
        <f>B470*D470</f>
        <v>0</v>
      </c>
      <c r="F470" s="115" t="s">
        <v>508</v>
      </c>
    </row>
    <row r="471" spans="1:6" ht="15.75" hidden="1" customHeight="1" outlineLevel="1" x14ac:dyDescent="0.2">
      <c r="A471" s="63" t="s">
        <v>509</v>
      </c>
      <c r="B471" s="80"/>
      <c r="C471" s="80"/>
      <c r="D471" s="80"/>
      <c r="E471" s="82"/>
      <c r="F471" s="78"/>
    </row>
    <row r="472" spans="1:6" ht="22.5" hidden="1" customHeight="1" outlineLevel="2" x14ac:dyDescent="0.2">
      <c r="A472" s="62" t="s">
        <v>510</v>
      </c>
      <c r="B472" s="79">
        <v>10</v>
      </c>
      <c r="C472" s="79" t="s">
        <v>38</v>
      </c>
      <c r="D472" s="83"/>
      <c r="E472" s="81">
        <f>B472*D472</f>
        <v>0</v>
      </c>
      <c r="F472" s="115" t="s">
        <v>508</v>
      </c>
    </row>
    <row r="473" spans="1:6" ht="15.75" hidden="1" customHeight="1" outlineLevel="2" x14ac:dyDescent="0.2">
      <c r="A473" s="63" t="s">
        <v>511</v>
      </c>
      <c r="B473" s="80"/>
      <c r="C473" s="80"/>
      <c r="D473" s="80"/>
      <c r="E473" s="82"/>
      <c r="F473" s="78"/>
    </row>
    <row r="474" spans="1:6" ht="22.5" hidden="1" customHeight="1" outlineLevel="1" x14ac:dyDescent="0.2">
      <c r="A474" s="62" t="s">
        <v>512</v>
      </c>
      <c r="B474" s="79">
        <v>6</v>
      </c>
      <c r="C474" s="79" t="s">
        <v>38</v>
      </c>
      <c r="D474" s="83">
        <f>D470*1.2</f>
        <v>0</v>
      </c>
      <c r="E474" s="81">
        <f>B474*D474</f>
        <v>0</v>
      </c>
      <c r="F474" s="115"/>
    </row>
    <row r="475" spans="1:6" ht="15.75" hidden="1" customHeight="1" outlineLevel="1" x14ac:dyDescent="0.2">
      <c r="A475" s="63" t="s">
        <v>513</v>
      </c>
      <c r="B475" s="80"/>
      <c r="C475" s="80"/>
      <c r="D475" s="80"/>
      <c r="E475" s="82"/>
      <c r="F475" s="78"/>
    </row>
    <row r="476" spans="1:6" ht="22.5" hidden="1" customHeight="1" outlineLevel="2" x14ac:dyDescent="0.2">
      <c r="A476" s="62" t="s">
        <v>514</v>
      </c>
      <c r="B476" s="79">
        <v>3.5</v>
      </c>
      <c r="C476" s="79" t="s">
        <v>38</v>
      </c>
      <c r="D476" s="83"/>
      <c r="E476" s="81">
        <f>B476*D476</f>
        <v>0</v>
      </c>
      <c r="F476" s="115" t="s">
        <v>508</v>
      </c>
    </row>
    <row r="477" spans="1:6" ht="15.75" hidden="1" customHeight="1" outlineLevel="2" x14ac:dyDescent="0.2">
      <c r="A477" s="63" t="s">
        <v>515</v>
      </c>
      <c r="B477" s="80"/>
      <c r="C477" s="80"/>
      <c r="D477" s="80"/>
      <c r="E477" s="82"/>
      <c r="F477" s="78"/>
    </row>
    <row r="478" spans="1:6" ht="22.5" hidden="1" customHeight="1" outlineLevel="2" x14ac:dyDescent="0.2">
      <c r="A478" s="62" t="s">
        <v>516</v>
      </c>
      <c r="B478" s="79">
        <v>6.9</v>
      </c>
      <c r="C478" s="79" t="s">
        <v>38</v>
      </c>
      <c r="D478" s="83">
        <f>D476*1.2</f>
        <v>0</v>
      </c>
      <c r="E478" s="81">
        <f>B478*D478</f>
        <v>0</v>
      </c>
      <c r="F478" s="61"/>
    </row>
    <row r="479" spans="1:6" ht="15.75" hidden="1" customHeight="1" outlineLevel="2" x14ac:dyDescent="0.2">
      <c r="A479" s="63" t="s">
        <v>517</v>
      </c>
      <c r="B479" s="80"/>
      <c r="C479" s="80"/>
      <c r="D479" s="80"/>
      <c r="E479" s="82"/>
      <c r="F479" s="61"/>
    </row>
    <row r="480" spans="1:6" ht="22.5" hidden="1" customHeight="1" outlineLevel="1" x14ac:dyDescent="0.2">
      <c r="A480" s="62" t="s">
        <v>518</v>
      </c>
      <c r="B480" s="79">
        <v>1.75</v>
      </c>
      <c r="C480" s="79" t="s">
        <v>38</v>
      </c>
      <c r="D480" s="83"/>
      <c r="E480" s="81">
        <f>B480*D480</f>
        <v>0</v>
      </c>
      <c r="F480" s="115" t="s">
        <v>508</v>
      </c>
    </row>
    <row r="481" spans="1:6" ht="15.75" hidden="1" customHeight="1" outlineLevel="1" x14ac:dyDescent="0.2">
      <c r="A481" s="63" t="s">
        <v>519</v>
      </c>
      <c r="B481" s="80"/>
      <c r="C481" s="80"/>
      <c r="D481" s="80"/>
      <c r="E481" s="82"/>
      <c r="F481" s="78"/>
    </row>
    <row r="482" spans="1:6" ht="22.5" hidden="1" customHeight="1" outlineLevel="1" x14ac:dyDescent="0.2">
      <c r="A482" s="62" t="s">
        <v>520</v>
      </c>
      <c r="B482" s="79">
        <v>2.5</v>
      </c>
      <c r="C482" s="79" t="s">
        <v>38</v>
      </c>
      <c r="D482" s="83">
        <f>D480*1.2</f>
        <v>0</v>
      </c>
      <c r="E482" s="81">
        <f>B482*D482</f>
        <v>0</v>
      </c>
      <c r="F482" s="61"/>
    </row>
    <row r="483" spans="1:6" ht="15.75" hidden="1" customHeight="1" outlineLevel="1" x14ac:dyDescent="0.2">
      <c r="A483" s="63" t="s">
        <v>521</v>
      </c>
      <c r="B483" s="80"/>
      <c r="C483" s="80"/>
      <c r="D483" s="80"/>
      <c r="E483" s="82"/>
      <c r="F483" s="61"/>
    </row>
    <row r="484" spans="1:6" ht="22.5" hidden="1" customHeight="1" outlineLevel="2" x14ac:dyDescent="0.2">
      <c r="A484" s="62" t="s">
        <v>522</v>
      </c>
      <c r="B484" s="79">
        <v>1.75</v>
      </c>
      <c r="C484" s="79" t="s">
        <v>38</v>
      </c>
      <c r="D484" s="83"/>
      <c r="E484" s="81">
        <f>B484*D484</f>
        <v>0</v>
      </c>
      <c r="F484" s="115" t="s">
        <v>508</v>
      </c>
    </row>
    <row r="485" spans="1:6" ht="15.75" hidden="1" customHeight="1" outlineLevel="2" x14ac:dyDescent="0.2">
      <c r="A485" s="63" t="s">
        <v>523</v>
      </c>
      <c r="B485" s="80"/>
      <c r="C485" s="80"/>
      <c r="D485" s="80"/>
      <c r="E485" s="82"/>
      <c r="F485" s="78"/>
    </row>
    <row r="486" spans="1:6" ht="22.5" hidden="1" customHeight="1" outlineLevel="2" x14ac:dyDescent="0.2">
      <c r="A486" s="62" t="s">
        <v>524</v>
      </c>
      <c r="B486" s="79">
        <v>3.3</v>
      </c>
      <c r="C486" s="79" t="s">
        <v>38</v>
      </c>
      <c r="D486" s="83">
        <f>D484*1.2</f>
        <v>0</v>
      </c>
      <c r="E486" s="81">
        <f>B486*D486</f>
        <v>0</v>
      </c>
      <c r="F486" s="61"/>
    </row>
    <row r="487" spans="1:6" ht="15.75" hidden="1" customHeight="1" outlineLevel="2" x14ac:dyDescent="0.2">
      <c r="A487" s="63" t="s">
        <v>525</v>
      </c>
      <c r="B487" s="80"/>
      <c r="C487" s="80"/>
      <c r="D487" s="80"/>
      <c r="E487" s="82"/>
      <c r="F487" s="61"/>
    </row>
    <row r="488" spans="1:6" ht="22.5" hidden="1" customHeight="1" outlineLevel="2" x14ac:dyDescent="0.2">
      <c r="A488" s="62" t="s">
        <v>526</v>
      </c>
      <c r="B488" s="79">
        <v>2.4</v>
      </c>
      <c r="C488" s="79" t="s">
        <v>38</v>
      </c>
      <c r="D488" s="83"/>
      <c r="E488" s="81">
        <f>B488*D488</f>
        <v>0</v>
      </c>
      <c r="F488" s="115" t="s">
        <v>508</v>
      </c>
    </row>
    <row r="489" spans="1:6" ht="15.75" hidden="1" customHeight="1" outlineLevel="2" x14ac:dyDescent="0.2">
      <c r="A489" s="63" t="s">
        <v>527</v>
      </c>
      <c r="B489" s="80"/>
      <c r="C489" s="80"/>
      <c r="D489" s="80"/>
      <c r="E489" s="82"/>
      <c r="F489" s="78"/>
    </row>
    <row r="490" spans="1:6" ht="22.5" hidden="1" customHeight="1" outlineLevel="2" x14ac:dyDescent="0.2">
      <c r="A490" s="62" t="s">
        <v>528</v>
      </c>
      <c r="B490" s="79">
        <v>2</v>
      </c>
      <c r="C490" s="79" t="s">
        <v>38</v>
      </c>
      <c r="D490" s="83">
        <f>D488*1.2</f>
        <v>0</v>
      </c>
      <c r="E490" s="81">
        <f>B490*D490</f>
        <v>0</v>
      </c>
      <c r="F490" s="61"/>
    </row>
    <row r="491" spans="1:6" ht="15.75" hidden="1" customHeight="1" outlineLevel="2" x14ac:dyDescent="0.2">
      <c r="A491" s="63" t="s">
        <v>529</v>
      </c>
      <c r="B491" s="80"/>
      <c r="C491" s="80"/>
      <c r="D491" s="80"/>
      <c r="E491" s="82"/>
      <c r="F491" s="61"/>
    </row>
    <row r="492" spans="1:6" ht="22.5" hidden="1" customHeight="1" outlineLevel="2" x14ac:dyDescent="0.2">
      <c r="A492" s="62" t="s">
        <v>530</v>
      </c>
      <c r="B492" s="79">
        <v>1</v>
      </c>
      <c r="C492" s="79" t="s">
        <v>38</v>
      </c>
      <c r="D492" s="83"/>
      <c r="E492" s="81">
        <f>B492*D492</f>
        <v>0</v>
      </c>
      <c r="F492" s="115" t="s">
        <v>508</v>
      </c>
    </row>
    <row r="493" spans="1:6" ht="15.75" hidden="1" customHeight="1" outlineLevel="2" x14ac:dyDescent="0.2">
      <c r="A493" s="63" t="s">
        <v>531</v>
      </c>
      <c r="B493" s="80"/>
      <c r="C493" s="80"/>
      <c r="D493" s="80"/>
      <c r="E493" s="82"/>
      <c r="F493" s="78"/>
    </row>
    <row r="494" spans="1:6" ht="22.5" hidden="1" customHeight="1" outlineLevel="2" x14ac:dyDescent="0.2">
      <c r="A494" s="62" t="s">
        <v>532</v>
      </c>
      <c r="B494" s="79">
        <v>1.5</v>
      </c>
      <c r="C494" s="79" t="s">
        <v>38</v>
      </c>
      <c r="D494" s="83">
        <f>D492</f>
        <v>0</v>
      </c>
      <c r="E494" s="81">
        <f>B494*D494</f>
        <v>0</v>
      </c>
      <c r="F494" s="61"/>
    </row>
    <row r="495" spans="1:6" ht="15.75" hidden="1" customHeight="1" outlineLevel="2" x14ac:dyDescent="0.2">
      <c r="A495" s="63" t="s">
        <v>533</v>
      </c>
      <c r="B495" s="80"/>
      <c r="C495" s="80"/>
      <c r="D495" s="80"/>
      <c r="E495" s="82"/>
      <c r="F495" s="61"/>
    </row>
    <row r="496" spans="1:6" ht="22.5" hidden="1" customHeight="1" outlineLevel="2" x14ac:dyDescent="0.2">
      <c r="A496" s="62" t="s">
        <v>534</v>
      </c>
      <c r="B496" s="79">
        <v>4</v>
      </c>
      <c r="C496" s="79" t="s">
        <v>36</v>
      </c>
      <c r="D496" s="83"/>
      <c r="E496" s="81">
        <f>B496*D496</f>
        <v>0</v>
      </c>
      <c r="F496" s="61"/>
    </row>
    <row r="497" spans="1:6" ht="15.75" hidden="1" customHeight="1" outlineLevel="2" x14ac:dyDescent="0.2">
      <c r="A497" s="63" t="s">
        <v>535</v>
      </c>
      <c r="B497" s="80"/>
      <c r="C497" s="80"/>
      <c r="D497" s="80"/>
      <c r="E497" s="82"/>
      <c r="F497" s="61"/>
    </row>
    <row r="498" spans="1:6" ht="22.5" hidden="1" customHeight="1" outlineLevel="2" x14ac:dyDescent="0.2">
      <c r="A498" s="62" t="s">
        <v>536</v>
      </c>
      <c r="B498" s="79">
        <v>1.25</v>
      </c>
      <c r="C498" s="79" t="s">
        <v>36</v>
      </c>
      <c r="D498" s="83"/>
      <c r="E498" s="81">
        <f>B498*D498</f>
        <v>0</v>
      </c>
      <c r="F498" s="61"/>
    </row>
    <row r="499" spans="1:6" ht="15.75" hidden="1" customHeight="1" outlineLevel="2" x14ac:dyDescent="0.2">
      <c r="A499" s="63" t="s">
        <v>537</v>
      </c>
      <c r="B499" s="80"/>
      <c r="C499" s="80"/>
      <c r="D499" s="80"/>
      <c r="E499" s="82"/>
      <c r="F499" s="61"/>
    </row>
    <row r="500" spans="1:6" ht="22.5" hidden="1" customHeight="1" outlineLevel="2" x14ac:dyDescent="0.2">
      <c r="A500" s="62" t="s">
        <v>538</v>
      </c>
      <c r="B500" s="79">
        <v>4</v>
      </c>
      <c r="C500" s="79" t="s">
        <v>36</v>
      </c>
      <c r="D500" s="83"/>
      <c r="E500" s="81">
        <f>B500*D500</f>
        <v>0</v>
      </c>
      <c r="F500" s="61"/>
    </row>
    <row r="501" spans="1:6" ht="15.75" hidden="1" customHeight="1" outlineLevel="2" x14ac:dyDescent="0.2">
      <c r="A501" s="63" t="s">
        <v>539</v>
      </c>
      <c r="B501" s="80"/>
      <c r="C501" s="80"/>
      <c r="D501" s="80"/>
      <c r="E501" s="82"/>
      <c r="F501" s="61"/>
    </row>
    <row r="502" spans="1:6" ht="22.5" hidden="1" customHeight="1" outlineLevel="2" x14ac:dyDescent="0.2">
      <c r="A502" s="62" t="s">
        <v>540</v>
      </c>
      <c r="B502" s="79">
        <v>1.7</v>
      </c>
      <c r="C502" s="79" t="s">
        <v>36</v>
      </c>
      <c r="D502" s="83"/>
      <c r="E502" s="81">
        <f>B502*D502</f>
        <v>0</v>
      </c>
      <c r="F502" s="61"/>
    </row>
    <row r="503" spans="1:6" ht="15.75" hidden="1" customHeight="1" outlineLevel="2" x14ac:dyDescent="0.2">
      <c r="A503" s="63" t="s">
        <v>541</v>
      </c>
      <c r="B503" s="80"/>
      <c r="C503" s="80"/>
      <c r="D503" s="80"/>
      <c r="E503" s="82"/>
      <c r="F503" s="61"/>
    </row>
    <row r="504" spans="1:6" ht="11.25" customHeight="1" x14ac:dyDescent="0.2">
      <c r="A504" s="132" t="s">
        <v>12</v>
      </c>
      <c r="B504" s="85"/>
      <c r="C504" s="85"/>
      <c r="D504" s="85"/>
      <c r="E504" s="85"/>
      <c r="F504" s="17"/>
    </row>
    <row r="505" spans="1:6" ht="22.5" customHeight="1" collapsed="1" x14ac:dyDescent="0.2">
      <c r="A505" s="86" t="s">
        <v>542</v>
      </c>
      <c r="B505" s="87"/>
      <c r="C505" s="87"/>
      <c r="D505" s="88"/>
      <c r="E505" s="36"/>
      <c r="F505" s="37">
        <f>SUM(E506:E513)</f>
        <v>0</v>
      </c>
    </row>
    <row r="506" spans="1:6" ht="22.5" hidden="1" customHeight="1" outlineLevel="1" x14ac:dyDescent="0.2">
      <c r="A506" s="62" t="s">
        <v>543</v>
      </c>
      <c r="B506" s="79">
        <v>1.5</v>
      </c>
      <c r="C506" s="79" t="s">
        <v>36</v>
      </c>
      <c r="D506" s="83"/>
      <c r="E506" s="81">
        <f>B506*D506</f>
        <v>0</v>
      </c>
      <c r="F506" s="61"/>
    </row>
    <row r="507" spans="1:6" ht="15.75" hidden="1" customHeight="1" outlineLevel="1" x14ac:dyDescent="0.2">
      <c r="A507" s="63" t="s">
        <v>544</v>
      </c>
      <c r="B507" s="80"/>
      <c r="C507" s="80"/>
      <c r="D507" s="80"/>
      <c r="E507" s="82"/>
      <c r="F507" s="61"/>
    </row>
    <row r="508" spans="1:6" ht="22.5" hidden="1" customHeight="1" outlineLevel="1" x14ac:dyDescent="0.2">
      <c r="A508" s="62" t="s">
        <v>545</v>
      </c>
      <c r="B508" s="79">
        <v>1.25</v>
      </c>
      <c r="C508" s="79" t="s">
        <v>36</v>
      </c>
      <c r="D508" s="83">
        <f>D506</f>
        <v>0</v>
      </c>
      <c r="E508" s="90">
        <f>B508*D508</f>
        <v>0</v>
      </c>
      <c r="F508" s="61"/>
    </row>
    <row r="509" spans="1:6" ht="15.75" hidden="1" customHeight="1" outlineLevel="1" x14ac:dyDescent="0.2">
      <c r="A509" s="63" t="s">
        <v>546</v>
      </c>
      <c r="B509" s="80"/>
      <c r="C509" s="80"/>
      <c r="D509" s="80"/>
      <c r="E509" s="78"/>
      <c r="F509" s="61"/>
    </row>
    <row r="510" spans="1:6" ht="22.5" hidden="1" customHeight="1" outlineLevel="2" x14ac:dyDescent="0.2">
      <c r="A510" s="62" t="s">
        <v>547</v>
      </c>
      <c r="B510" s="79">
        <v>2.75</v>
      </c>
      <c r="C510" s="79" t="s">
        <v>36</v>
      </c>
      <c r="D510" s="83"/>
      <c r="E510" s="90">
        <f>B510*D510</f>
        <v>0</v>
      </c>
      <c r="F510" s="61"/>
    </row>
    <row r="511" spans="1:6" ht="15.75" hidden="1" customHeight="1" outlineLevel="2" x14ac:dyDescent="0.2">
      <c r="A511" s="63" t="s">
        <v>548</v>
      </c>
      <c r="B511" s="80"/>
      <c r="C511" s="80"/>
      <c r="D511" s="80"/>
      <c r="E511" s="78"/>
      <c r="F511" s="61"/>
    </row>
    <row r="512" spans="1:6" ht="22.5" hidden="1" customHeight="1" outlineLevel="2" x14ac:dyDescent="0.2">
      <c r="A512" s="62" t="s">
        <v>549</v>
      </c>
      <c r="B512" s="79">
        <v>1.75</v>
      </c>
      <c r="C512" s="79" t="s">
        <v>36</v>
      </c>
      <c r="D512" s="83">
        <f>D510</f>
        <v>0</v>
      </c>
      <c r="E512" s="90">
        <f>B512*D512</f>
        <v>0</v>
      </c>
      <c r="F512" s="61"/>
    </row>
    <row r="513" spans="1:6" ht="15.75" hidden="1" customHeight="1" outlineLevel="2" x14ac:dyDescent="0.2">
      <c r="A513" s="63" t="s">
        <v>550</v>
      </c>
      <c r="B513" s="80"/>
      <c r="C513" s="80"/>
      <c r="D513" s="80"/>
      <c r="E513" s="78"/>
      <c r="F513" s="61"/>
    </row>
    <row r="514" spans="1:6" ht="11.25" customHeight="1" x14ac:dyDescent="0.2">
      <c r="A514" s="132" t="s">
        <v>12</v>
      </c>
      <c r="B514" s="85"/>
      <c r="C514" s="85"/>
      <c r="D514" s="85"/>
      <c r="E514" s="85"/>
      <c r="F514" s="17"/>
    </row>
    <row r="515" spans="1:6" ht="22.5" customHeight="1" x14ac:dyDescent="0.2">
      <c r="A515" s="127" t="s">
        <v>551</v>
      </c>
      <c r="B515" s="128"/>
      <c r="C515" s="128"/>
      <c r="D515" s="129"/>
      <c r="E515" s="31"/>
      <c r="F515" s="27">
        <f>F516+F547+F560+F581+F594</f>
        <v>0</v>
      </c>
    </row>
    <row r="516" spans="1:6" ht="22.5" customHeight="1" x14ac:dyDescent="0.2">
      <c r="A516" s="89" t="s">
        <v>552</v>
      </c>
      <c r="B516" s="87"/>
      <c r="C516" s="87"/>
      <c r="D516" s="88"/>
      <c r="E516" s="38"/>
      <c r="F516" s="45">
        <f>SUM(E517:E546)</f>
        <v>0</v>
      </c>
    </row>
    <row r="517" spans="1:6" ht="22.5" customHeight="1" outlineLevel="1" x14ac:dyDescent="0.2">
      <c r="A517" s="62" t="s">
        <v>553</v>
      </c>
      <c r="B517" s="79">
        <v>50</v>
      </c>
      <c r="C517" s="79" t="s">
        <v>36</v>
      </c>
      <c r="D517" s="83"/>
      <c r="E517" s="90">
        <f>B517*D517</f>
        <v>0</v>
      </c>
      <c r="F517" s="61"/>
    </row>
    <row r="518" spans="1:6" ht="15.75" customHeight="1" outlineLevel="1" x14ac:dyDescent="0.2">
      <c r="A518" s="63" t="s">
        <v>554</v>
      </c>
      <c r="B518" s="80"/>
      <c r="C518" s="80"/>
      <c r="D518" s="80"/>
      <c r="E518" s="78"/>
      <c r="F518" s="61"/>
    </row>
    <row r="519" spans="1:6" ht="22.5" customHeight="1" outlineLevel="1" x14ac:dyDescent="0.2">
      <c r="A519" s="62" t="s">
        <v>555</v>
      </c>
      <c r="B519" s="79">
        <v>160</v>
      </c>
      <c r="C519" s="79" t="s">
        <v>36</v>
      </c>
      <c r="D519" s="83">
        <f>D517</f>
        <v>0</v>
      </c>
      <c r="E519" s="90">
        <f>B519*D519</f>
        <v>0</v>
      </c>
      <c r="F519" s="61"/>
    </row>
    <row r="520" spans="1:6" ht="15.75" customHeight="1" outlineLevel="1" x14ac:dyDescent="0.2">
      <c r="A520" s="63" t="s">
        <v>819</v>
      </c>
      <c r="B520" s="80"/>
      <c r="C520" s="80"/>
      <c r="D520" s="80"/>
      <c r="E520" s="78"/>
      <c r="F520" s="61"/>
    </row>
    <row r="521" spans="1:6" ht="22.5" customHeight="1" outlineLevel="2" x14ac:dyDescent="0.2">
      <c r="A521" s="62" t="s">
        <v>557</v>
      </c>
      <c r="B521" s="79">
        <v>3</v>
      </c>
      <c r="C521" s="79" t="s">
        <v>15</v>
      </c>
      <c r="D521" s="83"/>
      <c r="E521" s="90">
        <f>B521*D521</f>
        <v>0</v>
      </c>
      <c r="F521" s="61"/>
    </row>
    <row r="522" spans="1:6" ht="15.75" customHeight="1" outlineLevel="2" x14ac:dyDescent="0.2">
      <c r="A522" s="63" t="s">
        <v>558</v>
      </c>
      <c r="B522" s="80"/>
      <c r="C522" s="80"/>
      <c r="D522" s="80"/>
      <c r="E522" s="78"/>
      <c r="F522" s="61"/>
    </row>
    <row r="523" spans="1:6" ht="22.5" customHeight="1" outlineLevel="2" x14ac:dyDescent="0.2">
      <c r="A523" s="62" t="s">
        <v>559</v>
      </c>
      <c r="B523" s="79">
        <v>270</v>
      </c>
      <c r="C523" s="79" t="s">
        <v>36</v>
      </c>
      <c r="D523" s="83"/>
      <c r="E523" s="90">
        <f>B523*D523</f>
        <v>0</v>
      </c>
      <c r="F523" s="61"/>
    </row>
    <row r="524" spans="1:6" ht="15.75" customHeight="1" outlineLevel="2" x14ac:dyDescent="0.2">
      <c r="A524" s="63" t="s">
        <v>560</v>
      </c>
      <c r="B524" s="80"/>
      <c r="C524" s="80"/>
      <c r="D524" s="80"/>
      <c r="E524" s="78"/>
      <c r="F524" s="61"/>
    </row>
    <row r="525" spans="1:6" ht="22.5" customHeight="1" outlineLevel="2" x14ac:dyDescent="0.2">
      <c r="A525" s="62" t="s">
        <v>561</v>
      </c>
      <c r="B525" s="79">
        <v>150</v>
      </c>
      <c r="C525" s="79" t="s">
        <v>15</v>
      </c>
      <c r="D525" s="83"/>
      <c r="E525" s="90">
        <f>B525*D525</f>
        <v>0</v>
      </c>
      <c r="F525" s="61"/>
    </row>
    <row r="526" spans="1:6" ht="15.75" customHeight="1" outlineLevel="2" x14ac:dyDescent="0.2">
      <c r="A526" s="63" t="s">
        <v>562</v>
      </c>
      <c r="B526" s="80"/>
      <c r="C526" s="80"/>
      <c r="D526" s="80"/>
      <c r="E526" s="78"/>
      <c r="F526" s="61"/>
    </row>
    <row r="527" spans="1:6" ht="22.5" customHeight="1" outlineLevel="2" x14ac:dyDescent="0.2">
      <c r="A527" s="62" t="s">
        <v>563</v>
      </c>
      <c r="B527" s="79">
        <v>150</v>
      </c>
      <c r="C527" s="79" t="s">
        <v>15</v>
      </c>
      <c r="D527" s="83"/>
      <c r="E527" s="90">
        <f>B527*D527</f>
        <v>0</v>
      </c>
      <c r="F527" s="61"/>
    </row>
    <row r="528" spans="1:6" ht="15.75" customHeight="1" outlineLevel="2" x14ac:dyDescent="0.2">
      <c r="A528" s="63" t="s">
        <v>564</v>
      </c>
      <c r="B528" s="80"/>
      <c r="C528" s="80"/>
      <c r="D528" s="80"/>
      <c r="E528" s="78"/>
      <c r="F528" s="61"/>
    </row>
    <row r="529" spans="1:6" ht="22.5" customHeight="1" outlineLevel="2" x14ac:dyDescent="0.2">
      <c r="A529" s="62" t="s">
        <v>565</v>
      </c>
      <c r="B529" s="79">
        <v>250</v>
      </c>
      <c r="C529" s="79" t="s">
        <v>15</v>
      </c>
      <c r="D529" s="83"/>
      <c r="E529" s="90">
        <f>B529*D529</f>
        <v>0</v>
      </c>
      <c r="F529" s="61"/>
    </row>
    <row r="530" spans="1:6" ht="15.75" customHeight="1" outlineLevel="2" x14ac:dyDescent="0.2">
      <c r="A530" s="63" t="s">
        <v>564</v>
      </c>
      <c r="B530" s="80"/>
      <c r="C530" s="80"/>
      <c r="D530" s="80"/>
      <c r="E530" s="78"/>
      <c r="F530" s="61"/>
    </row>
    <row r="531" spans="1:6" ht="22.5" customHeight="1" outlineLevel="2" x14ac:dyDescent="0.2">
      <c r="A531" s="62" t="s">
        <v>566</v>
      </c>
      <c r="B531" s="79">
        <v>150</v>
      </c>
      <c r="C531" s="79" t="s">
        <v>15</v>
      </c>
      <c r="D531" s="83"/>
      <c r="E531" s="90">
        <f>B531*D531</f>
        <v>0</v>
      </c>
      <c r="F531" s="61"/>
    </row>
    <row r="532" spans="1:6" ht="15.75" customHeight="1" outlineLevel="2" x14ac:dyDescent="0.2">
      <c r="A532" s="63" t="s">
        <v>564</v>
      </c>
      <c r="B532" s="80"/>
      <c r="C532" s="80"/>
      <c r="D532" s="80"/>
      <c r="E532" s="78"/>
      <c r="F532" s="61"/>
    </row>
    <row r="533" spans="1:6" ht="22.5" customHeight="1" outlineLevel="2" x14ac:dyDescent="0.2">
      <c r="A533" s="62" t="s">
        <v>567</v>
      </c>
      <c r="B533" s="79">
        <v>200</v>
      </c>
      <c r="C533" s="79" t="s">
        <v>15</v>
      </c>
      <c r="D533" s="83"/>
      <c r="E533" s="90">
        <f>B533*D533</f>
        <v>0</v>
      </c>
      <c r="F533" s="61"/>
    </row>
    <row r="534" spans="1:6" ht="15.75" customHeight="1" outlineLevel="2" x14ac:dyDescent="0.2">
      <c r="A534" s="63" t="s">
        <v>564</v>
      </c>
      <c r="B534" s="80"/>
      <c r="C534" s="80"/>
      <c r="D534" s="80"/>
      <c r="E534" s="78"/>
      <c r="F534" s="61"/>
    </row>
    <row r="535" spans="1:6" ht="22.5" customHeight="1" outlineLevel="2" x14ac:dyDescent="0.2">
      <c r="A535" s="62" t="s">
        <v>568</v>
      </c>
      <c r="B535" s="79">
        <v>75</v>
      </c>
      <c r="C535" s="79" t="s">
        <v>15</v>
      </c>
      <c r="D535" s="83"/>
      <c r="E535" s="90">
        <f>B535*D535</f>
        <v>0</v>
      </c>
      <c r="F535" s="61"/>
    </row>
    <row r="536" spans="1:6" ht="15.75" customHeight="1" outlineLevel="2" x14ac:dyDescent="0.2">
      <c r="A536" s="63" t="s">
        <v>569</v>
      </c>
      <c r="B536" s="80"/>
      <c r="C536" s="80"/>
      <c r="D536" s="80"/>
      <c r="E536" s="78"/>
      <c r="F536" s="61"/>
    </row>
    <row r="537" spans="1:6" ht="22.5" customHeight="1" outlineLevel="2" x14ac:dyDescent="0.2">
      <c r="A537" s="62" t="s">
        <v>570</v>
      </c>
      <c r="B537" s="79">
        <v>95</v>
      </c>
      <c r="C537" s="79" t="s">
        <v>15</v>
      </c>
      <c r="D537" s="83"/>
      <c r="E537" s="90">
        <f>B537*D537</f>
        <v>0</v>
      </c>
      <c r="F537" s="61"/>
    </row>
    <row r="538" spans="1:6" ht="15.75" customHeight="1" outlineLevel="2" x14ac:dyDescent="0.2">
      <c r="A538" s="63" t="s">
        <v>571</v>
      </c>
      <c r="B538" s="80"/>
      <c r="C538" s="80"/>
      <c r="D538" s="80"/>
      <c r="E538" s="78"/>
      <c r="F538" s="61"/>
    </row>
    <row r="539" spans="1:6" ht="22.5" customHeight="1" outlineLevel="2" x14ac:dyDescent="0.2">
      <c r="A539" s="62" t="s">
        <v>572</v>
      </c>
      <c r="B539" s="79">
        <v>100</v>
      </c>
      <c r="C539" s="79" t="s">
        <v>15</v>
      </c>
      <c r="D539" s="83"/>
      <c r="E539" s="90">
        <f>B539*D539</f>
        <v>0</v>
      </c>
      <c r="F539" s="61"/>
    </row>
    <row r="540" spans="1:6" ht="15.75" customHeight="1" outlineLevel="2" x14ac:dyDescent="0.2">
      <c r="A540" s="63" t="s">
        <v>573</v>
      </c>
      <c r="B540" s="80"/>
      <c r="C540" s="80"/>
      <c r="D540" s="80"/>
      <c r="E540" s="78"/>
      <c r="F540" s="61"/>
    </row>
    <row r="541" spans="1:6" ht="22.5" customHeight="1" outlineLevel="2" x14ac:dyDescent="0.2">
      <c r="A541" s="62" t="s">
        <v>574</v>
      </c>
      <c r="B541" s="79">
        <v>200</v>
      </c>
      <c r="C541" s="79" t="s">
        <v>15</v>
      </c>
      <c r="D541" s="83"/>
      <c r="E541" s="90">
        <f>B541*D541</f>
        <v>0</v>
      </c>
      <c r="F541" s="61"/>
    </row>
    <row r="542" spans="1:6" ht="15.75" customHeight="1" outlineLevel="2" x14ac:dyDescent="0.2">
      <c r="A542" s="63" t="s">
        <v>575</v>
      </c>
      <c r="B542" s="80"/>
      <c r="C542" s="80"/>
      <c r="D542" s="80"/>
      <c r="E542" s="78"/>
      <c r="F542" s="61"/>
    </row>
    <row r="543" spans="1:6" ht="22.5" customHeight="1" outlineLevel="2" x14ac:dyDescent="0.2">
      <c r="A543" s="62" t="s">
        <v>576</v>
      </c>
      <c r="B543" s="79">
        <v>50</v>
      </c>
      <c r="C543" s="79" t="s">
        <v>15</v>
      </c>
      <c r="D543" s="83"/>
      <c r="E543" s="90">
        <f>B543*D543</f>
        <v>0</v>
      </c>
      <c r="F543" s="61"/>
    </row>
    <row r="544" spans="1:6" ht="15.75" customHeight="1" outlineLevel="2" x14ac:dyDescent="0.2">
      <c r="A544" s="63" t="s">
        <v>577</v>
      </c>
      <c r="B544" s="80"/>
      <c r="C544" s="80"/>
      <c r="D544" s="80"/>
      <c r="E544" s="78"/>
      <c r="F544" s="61"/>
    </row>
    <row r="545" spans="1:6" ht="22.5" customHeight="1" outlineLevel="2" x14ac:dyDescent="0.2">
      <c r="A545" s="62" t="s">
        <v>578</v>
      </c>
      <c r="B545" s="79">
        <v>100</v>
      </c>
      <c r="C545" s="79" t="s">
        <v>15</v>
      </c>
      <c r="D545" s="83"/>
      <c r="E545" s="90">
        <f>B545*D545</f>
        <v>0</v>
      </c>
      <c r="F545" s="61"/>
    </row>
    <row r="546" spans="1:6" ht="15.75" customHeight="1" outlineLevel="2" x14ac:dyDescent="0.2">
      <c r="A546" s="63" t="s">
        <v>579</v>
      </c>
      <c r="B546" s="80"/>
      <c r="C546" s="80"/>
      <c r="D546" s="80"/>
      <c r="E546" s="78"/>
      <c r="F546" s="61"/>
    </row>
    <row r="547" spans="1:6" ht="22.5" customHeight="1" x14ac:dyDescent="0.2">
      <c r="A547" s="89" t="s">
        <v>580</v>
      </c>
      <c r="B547" s="87"/>
      <c r="C547" s="87"/>
      <c r="D547" s="88"/>
      <c r="E547" s="38"/>
      <c r="F547" s="45">
        <f>SUM(E548:E559)</f>
        <v>0</v>
      </c>
    </row>
    <row r="548" spans="1:6" ht="22.5" customHeight="1" outlineLevel="1" x14ac:dyDescent="0.2">
      <c r="A548" s="62" t="s">
        <v>581</v>
      </c>
      <c r="B548" s="79">
        <v>28</v>
      </c>
      <c r="C548" s="79" t="s">
        <v>38</v>
      </c>
      <c r="D548" s="83"/>
      <c r="E548" s="81">
        <f>B548*D548</f>
        <v>0</v>
      </c>
      <c r="F548" s="61"/>
    </row>
    <row r="549" spans="1:6" ht="15.75" customHeight="1" outlineLevel="1" x14ac:dyDescent="0.2">
      <c r="A549" s="63" t="s">
        <v>582</v>
      </c>
      <c r="B549" s="80"/>
      <c r="C549" s="80"/>
      <c r="D549" s="80"/>
      <c r="E549" s="82"/>
      <c r="F549" s="61"/>
    </row>
    <row r="550" spans="1:6" ht="22.5" customHeight="1" outlineLevel="2" x14ac:dyDescent="0.2">
      <c r="A550" s="62" t="s">
        <v>583</v>
      </c>
      <c r="B550" s="79">
        <v>36</v>
      </c>
      <c r="C550" s="79" t="s">
        <v>38</v>
      </c>
      <c r="D550" s="83"/>
      <c r="E550" s="81">
        <f>B550*D550</f>
        <v>0</v>
      </c>
      <c r="F550" s="61"/>
    </row>
    <row r="551" spans="1:6" ht="15.75" customHeight="1" outlineLevel="2" x14ac:dyDescent="0.2">
      <c r="A551" s="63" t="s">
        <v>584</v>
      </c>
      <c r="B551" s="80"/>
      <c r="C551" s="80"/>
      <c r="D551" s="80"/>
      <c r="E551" s="82"/>
      <c r="F551" s="61"/>
    </row>
    <row r="552" spans="1:6" ht="22.5" customHeight="1" outlineLevel="1" x14ac:dyDescent="0.2">
      <c r="A552" s="62" t="s">
        <v>585</v>
      </c>
      <c r="B552" s="79">
        <v>6</v>
      </c>
      <c r="C552" s="79" t="s">
        <v>38</v>
      </c>
      <c r="D552" s="83">
        <f>D548*1.2</f>
        <v>0</v>
      </c>
      <c r="E552" s="81">
        <f>B552*D552</f>
        <v>0</v>
      </c>
      <c r="F552" s="61"/>
    </row>
    <row r="553" spans="1:6" ht="15.75" customHeight="1" outlineLevel="1" x14ac:dyDescent="0.2">
      <c r="A553" s="63" t="s">
        <v>586</v>
      </c>
      <c r="B553" s="80"/>
      <c r="C553" s="80"/>
      <c r="D553" s="80"/>
      <c r="E553" s="82"/>
      <c r="F553" s="61"/>
    </row>
    <row r="554" spans="1:6" ht="22.5" customHeight="1" outlineLevel="2" x14ac:dyDescent="0.2">
      <c r="A554" s="62" t="s">
        <v>587</v>
      </c>
      <c r="B554" s="79">
        <v>15</v>
      </c>
      <c r="C554" s="79" t="s">
        <v>38</v>
      </c>
      <c r="D554" s="83"/>
      <c r="E554" s="81">
        <f>B554*D554</f>
        <v>0</v>
      </c>
      <c r="F554" s="61"/>
    </row>
    <row r="555" spans="1:6" ht="15.75" customHeight="1" outlineLevel="2" x14ac:dyDescent="0.2">
      <c r="A555" s="63" t="s">
        <v>588</v>
      </c>
      <c r="B555" s="80"/>
      <c r="C555" s="80"/>
      <c r="D555" s="80"/>
      <c r="E555" s="82"/>
      <c r="F555" s="61"/>
    </row>
    <row r="556" spans="1:6" ht="22.5" customHeight="1" outlineLevel="2" x14ac:dyDescent="0.2">
      <c r="A556" s="62" t="s">
        <v>589</v>
      </c>
      <c r="B556" s="79">
        <v>20</v>
      </c>
      <c r="C556" s="79" t="s">
        <v>38</v>
      </c>
      <c r="D556" s="83"/>
      <c r="E556" s="81">
        <f>B556*D556</f>
        <v>0</v>
      </c>
      <c r="F556" s="61"/>
    </row>
    <row r="557" spans="1:6" ht="15.75" customHeight="1" outlineLevel="2" x14ac:dyDescent="0.2">
      <c r="A557" s="63" t="s">
        <v>590</v>
      </c>
      <c r="B557" s="80"/>
      <c r="C557" s="80"/>
      <c r="D557" s="80"/>
      <c r="E557" s="82"/>
      <c r="F557" s="61"/>
    </row>
    <row r="558" spans="1:6" ht="22.5" customHeight="1" outlineLevel="2" x14ac:dyDescent="0.2">
      <c r="A558" s="62" t="s">
        <v>591</v>
      </c>
      <c r="B558" s="79">
        <v>150</v>
      </c>
      <c r="C558" s="79" t="s">
        <v>15</v>
      </c>
      <c r="D558" s="83"/>
      <c r="E558" s="81">
        <f>B558*D558</f>
        <v>0</v>
      </c>
      <c r="F558" s="61"/>
    </row>
    <row r="559" spans="1:6" ht="15.75" customHeight="1" outlineLevel="2" x14ac:dyDescent="0.2">
      <c r="A559" s="63" t="s">
        <v>592</v>
      </c>
      <c r="B559" s="80"/>
      <c r="C559" s="80"/>
      <c r="D559" s="80"/>
      <c r="E559" s="82"/>
      <c r="F559" s="61"/>
    </row>
    <row r="560" spans="1:6" ht="22.5" customHeight="1" collapsed="1" x14ac:dyDescent="0.2">
      <c r="A560" s="89" t="s">
        <v>593</v>
      </c>
      <c r="B560" s="87"/>
      <c r="C560" s="87"/>
      <c r="D560" s="88"/>
      <c r="E560" s="38"/>
      <c r="F560" s="45">
        <f>SUM(E561:E580)</f>
        <v>0</v>
      </c>
    </row>
    <row r="561" spans="1:6" ht="22.5" hidden="1" customHeight="1" outlineLevel="1" x14ac:dyDescent="0.2">
      <c r="A561" s="62" t="s">
        <v>594</v>
      </c>
      <c r="B561" s="79">
        <v>25</v>
      </c>
      <c r="C561" s="79" t="s">
        <v>38</v>
      </c>
      <c r="D561" s="83"/>
      <c r="E561" s="81">
        <f>B561*D561</f>
        <v>0</v>
      </c>
      <c r="F561" s="131" t="s">
        <v>595</v>
      </c>
    </row>
    <row r="562" spans="1:6" ht="15.75" hidden="1" customHeight="1" outlineLevel="1" x14ac:dyDescent="0.2">
      <c r="A562" s="63" t="s">
        <v>596</v>
      </c>
      <c r="B562" s="80"/>
      <c r="C562" s="80"/>
      <c r="D562" s="80"/>
      <c r="E562" s="82"/>
      <c r="F562" s="77"/>
    </row>
    <row r="563" spans="1:6" ht="22.5" hidden="1" customHeight="1" outlineLevel="1" x14ac:dyDescent="0.2">
      <c r="A563" s="62" t="s">
        <v>597</v>
      </c>
      <c r="B563" s="79">
        <v>250</v>
      </c>
      <c r="C563" s="79" t="s">
        <v>15</v>
      </c>
      <c r="D563" s="83"/>
      <c r="E563" s="81">
        <f>B563*D563</f>
        <v>0</v>
      </c>
      <c r="F563" s="77"/>
    </row>
    <row r="564" spans="1:6" ht="15.75" hidden="1" customHeight="1" outlineLevel="1" x14ac:dyDescent="0.2">
      <c r="A564" s="63" t="s">
        <v>598</v>
      </c>
      <c r="B564" s="80"/>
      <c r="C564" s="80"/>
      <c r="D564" s="80"/>
      <c r="E564" s="82"/>
      <c r="F564" s="78"/>
    </row>
    <row r="565" spans="1:6" ht="22.5" hidden="1" customHeight="1" outlineLevel="2" x14ac:dyDescent="0.2">
      <c r="A565" s="62" t="s">
        <v>599</v>
      </c>
      <c r="B565" s="79">
        <v>300</v>
      </c>
      <c r="C565" s="79" t="s">
        <v>15</v>
      </c>
      <c r="D565" s="83"/>
      <c r="E565" s="81">
        <f>B565*D565</f>
        <v>0</v>
      </c>
      <c r="F565" s="61"/>
    </row>
    <row r="566" spans="1:6" ht="15.75" hidden="1" customHeight="1" outlineLevel="2" x14ac:dyDescent="0.2">
      <c r="A566" s="63" t="s">
        <v>600</v>
      </c>
      <c r="B566" s="80"/>
      <c r="C566" s="80"/>
      <c r="D566" s="80"/>
      <c r="E566" s="82"/>
      <c r="F566" s="61"/>
    </row>
    <row r="567" spans="1:6" ht="22.5" hidden="1" customHeight="1" outlineLevel="1" x14ac:dyDescent="0.2">
      <c r="A567" s="62" t="s">
        <v>601</v>
      </c>
      <c r="B567" s="79">
        <v>500</v>
      </c>
      <c r="C567" s="79" t="s">
        <v>15</v>
      </c>
      <c r="D567" s="83"/>
      <c r="E567" s="81">
        <f>B567*D567</f>
        <v>0</v>
      </c>
      <c r="F567" s="61"/>
    </row>
    <row r="568" spans="1:6" ht="15.75" hidden="1" customHeight="1" outlineLevel="1" x14ac:dyDescent="0.2">
      <c r="A568" s="63" t="s">
        <v>602</v>
      </c>
      <c r="B568" s="80"/>
      <c r="C568" s="80"/>
      <c r="D568" s="80"/>
      <c r="E568" s="82"/>
      <c r="F568" s="61"/>
    </row>
    <row r="569" spans="1:6" ht="22.5" hidden="1" customHeight="1" outlineLevel="2" x14ac:dyDescent="0.2">
      <c r="A569" s="62" t="s">
        <v>603</v>
      </c>
      <c r="B569" s="79">
        <v>650</v>
      </c>
      <c r="C569" s="79" t="s">
        <v>15</v>
      </c>
      <c r="D569" s="83"/>
      <c r="E569" s="81">
        <f>B569*D569</f>
        <v>0</v>
      </c>
      <c r="F569" s="61"/>
    </row>
    <row r="570" spans="1:6" ht="15.75" hidden="1" customHeight="1" outlineLevel="2" x14ac:dyDescent="0.2">
      <c r="A570" s="63" t="s">
        <v>604</v>
      </c>
      <c r="B570" s="80"/>
      <c r="C570" s="80"/>
      <c r="D570" s="80"/>
      <c r="E570" s="82"/>
      <c r="F570" s="61"/>
    </row>
    <row r="571" spans="1:6" ht="22.5" hidden="1" customHeight="1" outlineLevel="3" x14ac:dyDescent="0.2">
      <c r="A571" s="62" t="s">
        <v>605</v>
      </c>
      <c r="B571" s="79">
        <v>850</v>
      </c>
      <c r="C571" s="79" t="s">
        <v>15</v>
      </c>
      <c r="D571" s="83"/>
      <c r="E571" s="81">
        <f>B571*D571</f>
        <v>0</v>
      </c>
      <c r="F571" s="61"/>
    </row>
    <row r="572" spans="1:6" ht="15.75" hidden="1" customHeight="1" outlineLevel="3" x14ac:dyDescent="0.2">
      <c r="A572" s="63" t="s">
        <v>606</v>
      </c>
      <c r="B572" s="80"/>
      <c r="C572" s="80"/>
      <c r="D572" s="80"/>
      <c r="E572" s="82"/>
      <c r="F572" s="61"/>
    </row>
    <row r="573" spans="1:6" ht="22.5" hidden="1" customHeight="1" outlineLevel="3" x14ac:dyDescent="0.2">
      <c r="A573" s="62" t="s">
        <v>607</v>
      </c>
      <c r="B573" s="79">
        <v>1000</v>
      </c>
      <c r="C573" s="79" t="s">
        <v>15</v>
      </c>
      <c r="D573" s="83"/>
      <c r="E573" s="81">
        <f>B573*D573</f>
        <v>0</v>
      </c>
      <c r="F573" s="61"/>
    </row>
    <row r="574" spans="1:6" ht="15.75" hidden="1" customHeight="1" outlineLevel="3" x14ac:dyDescent="0.2">
      <c r="A574" s="63" t="s">
        <v>608</v>
      </c>
      <c r="B574" s="80"/>
      <c r="C574" s="80"/>
      <c r="D574" s="80"/>
      <c r="E574" s="82"/>
      <c r="F574" s="61"/>
    </row>
    <row r="575" spans="1:6" ht="22.5" hidden="1" customHeight="1" outlineLevel="3" x14ac:dyDescent="0.2">
      <c r="A575" s="62" t="s">
        <v>591</v>
      </c>
      <c r="B575" s="79">
        <v>150</v>
      </c>
      <c r="C575" s="79" t="s">
        <v>15</v>
      </c>
      <c r="D575" s="83"/>
      <c r="E575" s="81">
        <f>B575*D575</f>
        <v>0</v>
      </c>
      <c r="F575" s="61"/>
    </row>
    <row r="576" spans="1:6" ht="15.75" hidden="1" customHeight="1" outlineLevel="3" x14ac:dyDescent="0.2">
      <c r="A576" s="63" t="s">
        <v>592</v>
      </c>
      <c r="B576" s="80"/>
      <c r="C576" s="80"/>
      <c r="D576" s="80"/>
      <c r="E576" s="82"/>
      <c r="F576" s="61"/>
    </row>
    <row r="577" spans="1:6" ht="22.5" hidden="1" customHeight="1" outlineLevel="2" x14ac:dyDescent="0.2">
      <c r="A577" s="62" t="s">
        <v>609</v>
      </c>
      <c r="B577" s="79">
        <v>30</v>
      </c>
      <c r="C577" s="79" t="s">
        <v>36</v>
      </c>
      <c r="D577" s="83"/>
      <c r="E577" s="81">
        <f>B577*D577</f>
        <v>0</v>
      </c>
      <c r="F577" s="61"/>
    </row>
    <row r="578" spans="1:6" ht="15.75" hidden="1" customHeight="1" outlineLevel="2" x14ac:dyDescent="0.2">
      <c r="A578" s="63" t="s">
        <v>610</v>
      </c>
      <c r="B578" s="80"/>
      <c r="C578" s="80"/>
      <c r="D578" s="80"/>
      <c r="E578" s="82"/>
      <c r="F578" s="61"/>
    </row>
    <row r="579" spans="1:6" ht="22.5" hidden="1" customHeight="1" outlineLevel="2" x14ac:dyDescent="0.2">
      <c r="A579" s="62" t="s">
        <v>611</v>
      </c>
      <c r="B579" s="79">
        <v>65</v>
      </c>
      <c r="C579" s="79" t="s">
        <v>36</v>
      </c>
      <c r="D579" s="83"/>
      <c r="E579" s="81">
        <f>B579*D579</f>
        <v>0</v>
      </c>
      <c r="F579" s="61"/>
    </row>
    <row r="580" spans="1:6" ht="15.75" hidden="1" customHeight="1" outlineLevel="2" x14ac:dyDescent="0.2">
      <c r="A580" s="63" t="s">
        <v>612</v>
      </c>
      <c r="B580" s="80"/>
      <c r="C580" s="80"/>
      <c r="D580" s="80"/>
      <c r="E580" s="82"/>
      <c r="F580" s="61"/>
    </row>
    <row r="581" spans="1:6" ht="22.5" customHeight="1" collapsed="1" x14ac:dyDescent="0.2">
      <c r="A581" s="89" t="s">
        <v>613</v>
      </c>
      <c r="B581" s="87"/>
      <c r="C581" s="87"/>
      <c r="D581" s="88"/>
      <c r="E581" s="38"/>
      <c r="F581" s="45">
        <f>SUM(E582:E593)</f>
        <v>0</v>
      </c>
    </row>
    <row r="582" spans="1:6" ht="22.5" hidden="1" customHeight="1" outlineLevel="1" x14ac:dyDescent="0.2">
      <c r="A582" s="62" t="s">
        <v>614</v>
      </c>
      <c r="B582" s="79">
        <v>100</v>
      </c>
      <c r="C582" s="79" t="s">
        <v>15</v>
      </c>
      <c r="D582" s="83"/>
      <c r="E582" s="81">
        <f>B582*D582</f>
        <v>0</v>
      </c>
      <c r="F582" s="61"/>
    </row>
    <row r="583" spans="1:6" ht="15.75" hidden="1" customHeight="1" outlineLevel="1" x14ac:dyDescent="0.2">
      <c r="A583" s="63" t="s">
        <v>615</v>
      </c>
      <c r="B583" s="80"/>
      <c r="C583" s="80"/>
      <c r="D583" s="80"/>
      <c r="E583" s="82"/>
      <c r="F583" s="61"/>
    </row>
    <row r="584" spans="1:6" ht="22.5" hidden="1" customHeight="1" outlineLevel="1" x14ac:dyDescent="0.2">
      <c r="A584" s="62" t="s">
        <v>616</v>
      </c>
      <c r="B584" s="79">
        <v>100</v>
      </c>
      <c r="C584" s="79" t="s">
        <v>15</v>
      </c>
      <c r="D584" s="83"/>
      <c r="E584" s="81">
        <f>B584*D584</f>
        <v>0</v>
      </c>
      <c r="F584" s="61"/>
    </row>
    <row r="585" spans="1:6" ht="15.75" hidden="1" customHeight="1" outlineLevel="1" x14ac:dyDescent="0.2">
      <c r="A585" s="63" t="s">
        <v>617</v>
      </c>
      <c r="B585" s="80"/>
      <c r="C585" s="80"/>
      <c r="D585" s="80"/>
      <c r="E585" s="82"/>
      <c r="F585" s="61"/>
    </row>
    <row r="586" spans="1:6" ht="22.5" hidden="1" customHeight="1" outlineLevel="2" x14ac:dyDescent="0.2">
      <c r="A586" s="62" t="s">
        <v>618</v>
      </c>
      <c r="B586" s="79">
        <v>100</v>
      </c>
      <c r="C586" s="79" t="s">
        <v>15</v>
      </c>
      <c r="D586" s="83"/>
      <c r="E586" s="81">
        <f>B586*D586</f>
        <v>0</v>
      </c>
      <c r="F586" s="61"/>
    </row>
    <row r="587" spans="1:6" ht="15.75" hidden="1" customHeight="1" outlineLevel="2" x14ac:dyDescent="0.2">
      <c r="A587" s="63" t="s">
        <v>615</v>
      </c>
      <c r="B587" s="80"/>
      <c r="C587" s="80"/>
      <c r="D587" s="80"/>
      <c r="E587" s="82"/>
      <c r="F587" s="61"/>
    </row>
    <row r="588" spans="1:6" ht="22.5" hidden="1" customHeight="1" outlineLevel="2" x14ac:dyDescent="0.2">
      <c r="A588" s="62" t="s">
        <v>619</v>
      </c>
      <c r="B588" s="79">
        <v>300</v>
      </c>
      <c r="C588" s="79" t="s">
        <v>15</v>
      </c>
      <c r="D588" s="83"/>
      <c r="E588" s="81">
        <f>B588*D588</f>
        <v>0</v>
      </c>
      <c r="F588" s="61"/>
    </row>
    <row r="589" spans="1:6" ht="15.75" hidden="1" customHeight="1" outlineLevel="2" x14ac:dyDescent="0.2">
      <c r="A589" s="63" t="s">
        <v>620</v>
      </c>
      <c r="B589" s="80"/>
      <c r="C589" s="80"/>
      <c r="D589" s="80"/>
      <c r="E589" s="82"/>
      <c r="F589" s="61"/>
    </row>
    <row r="590" spans="1:6" ht="22.5" hidden="1" customHeight="1" outlineLevel="2" x14ac:dyDescent="0.2">
      <c r="A590" s="62" t="s">
        <v>621</v>
      </c>
      <c r="B590" s="79">
        <v>100</v>
      </c>
      <c r="C590" s="79" t="s">
        <v>15</v>
      </c>
      <c r="D590" s="83"/>
      <c r="E590" s="81">
        <f>B590*D590</f>
        <v>0</v>
      </c>
      <c r="F590" s="61"/>
    </row>
    <row r="591" spans="1:6" ht="15.75" hidden="1" customHeight="1" outlineLevel="2" x14ac:dyDescent="0.2">
      <c r="A591" s="63" t="s">
        <v>622</v>
      </c>
      <c r="B591" s="80"/>
      <c r="C591" s="80"/>
      <c r="D591" s="80"/>
      <c r="E591" s="82"/>
      <c r="F591" s="61"/>
    </row>
    <row r="592" spans="1:6" ht="22.5" hidden="1" customHeight="1" outlineLevel="2" x14ac:dyDescent="0.2">
      <c r="A592" s="62" t="s">
        <v>623</v>
      </c>
      <c r="B592" s="79">
        <v>100</v>
      </c>
      <c r="C592" s="79" t="s">
        <v>15</v>
      </c>
      <c r="D592" s="83"/>
      <c r="E592" s="81">
        <f>B592*D592</f>
        <v>0</v>
      </c>
      <c r="F592" s="61"/>
    </row>
    <row r="593" spans="1:6" ht="15.75" hidden="1" customHeight="1" outlineLevel="2" x14ac:dyDescent="0.2">
      <c r="A593" s="63" t="s">
        <v>624</v>
      </c>
      <c r="B593" s="80"/>
      <c r="C593" s="80"/>
      <c r="D593" s="80"/>
      <c r="E593" s="82"/>
      <c r="F593" s="61"/>
    </row>
    <row r="594" spans="1:6" ht="22.5" customHeight="1" collapsed="1" x14ac:dyDescent="0.2">
      <c r="A594" s="89" t="s">
        <v>625</v>
      </c>
      <c r="B594" s="87"/>
      <c r="C594" s="87"/>
      <c r="D594" s="88"/>
      <c r="E594" s="38"/>
      <c r="F594" s="45">
        <f>SUM(E595:E640)</f>
        <v>0</v>
      </c>
    </row>
    <row r="595" spans="1:6" ht="22.5" hidden="1" customHeight="1" outlineLevel="1" x14ac:dyDescent="0.2">
      <c r="A595" s="62" t="s">
        <v>626</v>
      </c>
      <c r="B595" s="79">
        <v>150</v>
      </c>
      <c r="C595" s="79" t="s">
        <v>15</v>
      </c>
      <c r="D595" s="83"/>
      <c r="E595" s="81">
        <f>B595*D595</f>
        <v>0</v>
      </c>
      <c r="F595" s="61"/>
    </row>
    <row r="596" spans="1:6" ht="15.75" hidden="1" customHeight="1" outlineLevel="1" x14ac:dyDescent="0.2">
      <c r="A596" s="63" t="s">
        <v>627</v>
      </c>
      <c r="B596" s="80"/>
      <c r="C596" s="80"/>
      <c r="D596" s="80"/>
      <c r="E596" s="82"/>
      <c r="F596" s="61"/>
    </row>
    <row r="597" spans="1:6" ht="22.5" hidden="1" customHeight="1" outlineLevel="1" x14ac:dyDescent="0.2">
      <c r="A597" s="62" t="s">
        <v>628</v>
      </c>
      <c r="B597" s="79">
        <v>500</v>
      </c>
      <c r="C597" s="79" t="s">
        <v>15</v>
      </c>
      <c r="D597" s="83"/>
      <c r="E597" s="81">
        <f>B597*D597</f>
        <v>0</v>
      </c>
      <c r="F597" s="61"/>
    </row>
    <row r="598" spans="1:6" ht="15.75" hidden="1" customHeight="1" outlineLevel="1" x14ac:dyDescent="0.2">
      <c r="A598" s="63" t="s">
        <v>629</v>
      </c>
      <c r="B598" s="80"/>
      <c r="C598" s="80"/>
      <c r="D598" s="80"/>
      <c r="E598" s="82"/>
      <c r="F598" s="61"/>
    </row>
    <row r="599" spans="1:6" ht="22.5" hidden="1" customHeight="1" outlineLevel="2" x14ac:dyDescent="0.2">
      <c r="A599" s="62" t="s">
        <v>630</v>
      </c>
      <c r="B599" s="79">
        <v>100</v>
      </c>
      <c r="C599" s="79" t="s">
        <v>15</v>
      </c>
      <c r="D599" s="83"/>
      <c r="E599" s="81">
        <f>B599*D599</f>
        <v>0</v>
      </c>
      <c r="F599" s="61"/>
    </row>
    <row r="600" spans="1:6" ht="15.75" hidden="1" customHeight="1" outlineLevel="2" x14ac:dyDescent="0.2">
      <c r="A600" s="63" t="s">
        <v>631</v>
      </c>
      <c r="B600" s="80"/>
      <c r="C600" s="80"/>
      <c r="D600" s="80"/>
      <c r="E600" s="82"/>
      <c r="F600" s="61"/>
    </row>
    <row r="601" spans="1:6" ht="22.5" hidden="1" customHeight="1" outlineLevel="2" x14ac:dyDescent="0.2">
      <c r="A601" s="62" t="s">
        <v>632</v>
      </c>
      <c r="B601" s="79">
        <v>750</v>
      </c>
      <c r="C601" s="79" t="s">
        <v>15</v>
      </c>
      <c r="D601" s="83"/>
      <c r="E601" s="81">
        <f>B601*D601</f>
        <v>0</v>
      </c>
      <c r="F601" s="61"/>
    </row>
    <row r="602" spans="1:6" ht="15.75" hidden="1" customHeight="1" outlineLevel="2" x14ac:dyDescent="0.2">
      <c r="A602" s="63" t="s">
        <v>633</v>
      </c>
      <c r="B602" s="80"/>
      <c r="C602" s="80"/>
      <c r="D602" s="80"/>
      <c r="E602" s="82"/>
      <c r="F602" s="61"/>
    </row>
    <row r="603" spans="1:6" ht="22.5" hidden="1" customHeight="1" outlineLevel="1" x14ac:dyDescent="0.2">
      <c r="A603" s="62" t="s">
        <v>634</v>
      </c>
      <c r="B603" s="79">
        <v>100</v>
      </c>
      <c r="C603" s="79" t="s">
        <v>15</v>
      </c>
      <c r="D603" s="83"/>
      <c r="E603" s="81">
        <f>B603*D603</f>
        <v>0</v>
      </c>
      <c r="F603" s="61"/>
    </row>
    <row r="604" spans="1:6" ht="15.75" hidden="1" customHeight="1" outlineLevel="1" x14ac:dyDescent="0.2">
      <c r="A604" s="63" t="s">
        <v>635</v>
      </c>
      <c r="B604" s="80"/>
      <c r="C604" s="80"/>
      <c r="D604" s="80"/>
      <c r="E604" s="82"/>
      <c r="F604" s="61"/>
    </row>
    <row r="605" spans="1:6" ht="22.5" hidden="1" customHeight="1" outlineLevel="1" x14ac:dyDescent="0.2">
      <c r="A605" s="62" t="s">
        <v>636</v>
      </c>
      <c r="B605" s="79">
        <v>750</v>
      </c>
      <c r="C605" s="79" t="s">
        <v>15</v>
      </c>
      <c r="D605" s="83"/>
      <c r="E605" s="81">
        <f>B605*D605</f>
        <v>0</v>
      </c>
      <c r="F605" s="61"/>
    </row>
    <row r="606" spans="1:6" ht="15.75" hidden="1" customHeight="1" outlineLevel="1" x14ac:dyDescent="0.2">
      <c r="A606" s="63" t="s">
        <v>637</v>
      </c>
      <c r="B606" s="80"/>
      <c r="C606" s="80"/>
      <c r="D606" s="80"/>
      <c r="E606" s="82"/>
      <c r="F606" s="61"/>
    </row>
    <row r="607" spans="1:6" ht="22.5" hidden="1" customHeight="1" outlineLevel="1" x14ac:dyDescent="0.2">
      <c r="A607" s="62" t="s">
        <v>638</v>
      </c>
      <c r="B607" s="79">
        <v>75</v>
      </c>
      <c r="C607" s="79" t="s">
        <v>15</v>
      </c>
      <c r="D607" s="83"/>
      <c r="E607" s="81">
        <f>B607*D607</f>
        <v>0</v>
      </c>
      <c r="F607" s="61"/>
    </row>
    <row r="608" spans="1:6" ht="15.75" hidden="1" customHeight="1" outlineLevel="1" x14ac:dyDescent="0.2">
      <c r="A608" s="63" t="s">
        <v>639</v>
      </c>
      <c r="B608" s="80"/>
      <c r="C608" s="80"/>
      <c r="D608" s="80"/>
      <c r="E608" s="82"/>
      <c r="F608" s="61"/>
    </row>
    <row r="609" spans="1:6" ht="22.5" hidden="1" customHeight="1" outlineLevel="1" x14ac:dyDescent="0.2">
      <c r="A609" s="62" t="s">
        <v>640</v>
      </c>
      <c r="B609" s="79">
        <v>1600</v>
      </c>
      <c r="C609" s="79" t="s">
        <v>15</v>
      </c>
      <c r="D609" s="83"/>
      <c r="E609" s="81">
        <f>B609*D609</f>
        <v>0</v>
      </c>
      <c r="F609" s="61"/>
    </row>
    <row r="610" spans="1:6" ht="15.75" hidden="1" customHeight="1" outlineLevel="1" x14ac:dyDescent="0.2">
      <c r="A610" s="63" t="s">
        <v>641</v>
      </c>
      <c r="B610" s="80"/>
      <c r="C610" s="80"/>
      <c r="D610" s="80"/>
      <c r="E610" s="82"/>
      <c r="F610" s="61"/>
    </row>
    <row r="611" spans="1:6" ht="22.5" hidden="1" customHeight="1" outlineLevel="1" x14ac:dyDescent="0.2">
      <c r="A611" s="62" t="s">
        <v>642</v>
      </c>
      <c r="B611" s="79">
        <v>150</v>
      </c>
      <c r="C611" s="79" t="s">
        <v>15</v>
      </c>
      <c r="D611" s="83"/>
      <c r="E611" s="81">
        <f>B611*D611</f>
        <v>0</v>
      </c>
      <c r="F611" s="61"/>
    </row>
    <row r="612" spans="1:6" ht="15.75" hidden="1" customHeight="1" outlineLevel="1" x14ac:dyDescent="0.2">
      <c r="A612" s="63" t="s">
        <v>643</v>
      </c>
      <c r="B612" s="80"/>
      <c r="C612" s="80"/>
      <c r="D612" s="80"/>
      <c r="E612" s="82"/>
      <c r="F612" s="61"/>
    </row>
    <row r="613" spans="1:6" ht="22.5" hidden="1" customHeight="1" outlineLevel="1" x14ac:dyDescent="0.2">
      <c r="A613" s="62" t="s">
        <v>644</v>
      </c>
      <c r="B613" s="79">
        <v>300</v>
      </c>
      <c r="C613" s="79" t="s">
        <v>15</v>
      </c>
      <c r="D613" s="83"/>
      <c r="E613" s="81">
        <f>B613*D613</f>
        <v>0</v>
      </c>
      <c r="F613" s="61"/>
    </row>
    <row r="614" spans="1:6" ht="15.75" hidden="1" customHeight="1" outlineLevel="1" x14ac:dyDescent="0.2">
      <c r="A614" s="63" t="s">
        <v>645</v>
      </c>
      <c r="B614" s="80"/>
      <c r="C614" s="80"/>
      <c r="D614" s="80"/>
      <c r="E614" s="82"/>
      <c r="F614" s="61"/>
    </row>
    <row r="615" spans="1:6" ht="22.5" hidden="1" customHeight="1" outlineLevel="1" x14ac:dyDescent="0.2">
      <c r="A615" s="62" t="s">
        <v>646</v>
      </c>
      <c r="B615" s="79">
        <v>250</v>
      </c>
      <c r="C615" s="79" t="s">
        <v>15</v>
      </c>
      <c r="D615" s="83"/>
      <c r="E615" s="81">
        <f>B615*D615</f>
        <v>0</v>
      </c>
      <c r="F615" s="61"/>
    </row>
    <row r="616" spans="1:6" ht="15.75" hidden="1" customHeight="1" outlineLevel="1" x14ac:dyDescent="0.2">
      <c r="A616" s="63" t="s">
        <v>647</v>
      </c>
      <c r="B616" s="80"/>
      <c r="C616" s="80"/>
      <c r="D616" s="80"/>
      <c r="E616" s="82"/>
      <c r="F616" s="61"/>
    </row>
    <row r="617" spans="1:6" ht="22.5" hidden="1" customHeight="1" outlineLevel="1" x14ac:dyDescent="0.2">
      <c r="A617" s="62" t="s">
        <v>648</v>
      </c>
      <c r="B617" s="79">
        <v>250</v>
      </c>
      <c r="C617" s="79" t="s">
        <v>15</v>
      </c>
      <c r="D617" s="83"/>
      <c r="E617" s="81">
        <f>B617*D617</f>
        <v>0</v>
      </c>
      <c r="F617" s="61"/>
    </row>
    <row r="618" spans="1:6" ht="15.75" hidden="1" customHeight="1" outlineLevel="1" x14ac:dyDescent="0.2">
      <c r="A618" s="63" t="s">
        <v>649</v>
      </c>
      <c r="B618" s="80"/>
      <c r="C618" s="80"/>
      <c r="D618" s="80"/>
      <c r="E618" s="82"/>
      <c r="F618" s="61"/>
    </row>
    <row r="619" spans="1:6" ht="22.5" hidden="1" customHeight="1" outlineLevel="2" x14ac:dyDescent="0.2">
      <c r="A619" s="62" t="s">
        <v>650</v>
      </c>
      <c r="B619" s="79">
        <v>250</v>
      </c>
      <c r="C619" s="79" t="s">
        <v>15</v>
      </c>
      <c r="D619" s="83"/>
      <c r="E619" s="81">
        <f>B619*D619</f>
        <v>0</v>
      </c>
      <c r="F619" s="61"/>
    </row>
    <row r="620" spans="1:6" ht="15.75" hidden="1" customHeight="1" outlineLevel="2" x14ac:dyDescent="0.2">
      <c r="A620" s="63" t="s">
        <v>651</v>
      </c>
      <c r="B620" s="80"/>
      <c r="C620" s="80"/>
      <c r="D620" s="80"/>
      <c r="E620" s="82"/>
      <c r="F620" s="61"/>
    </row>
    <row r="621" spans="1:6" ht="22.5" hidden="1" customHeight="1" outlineLevel="2" x14ac:dyDescent="0.2">
      <c r="A621" s="62" t="s">
        <v>652</v>
      </c>
      <c r="B621" s="79">
        <v>250</v>
      </c>
      <c r="C621" s="79" t="s">
        <v>15</v>
      </c>
      <c r="D621" s="83"/>
      <c r="E621" s="81">
        <f>B621*D621</f>
        <v>0</v>
      </c>
      <c r="F621" s="61"/>
    </row>
    <row r="622" spans="1:6" ht="15.75" hidden="1" customHeight="1" outlineLevel="2" x14ac:dyDescent="0.2">
      <c r="A622" s="63" t="s">
        <v>653</v>
      </c>
      <c r="B622" s="80"/>
      <c r="C622" s="80"/>
      <c r="D622" s="80"/>
      <c r="E622" s="82"/>
      <c r="F622" s="61"/>
    </row>
    <row r="623" spans="1:6" ht="22.5" hidden="1" customHeight="1" outlineLevel="2" x14ac:dyDescent="0.2">
      <c r="A623" s="62" t="s">
        <v>654</v>
      </c>
      <c r="B623" s="79">
        <v>250</v>
      </c>
      <c r="C623" s="79" t="s">
        <v>15</v>
      </c>
      <c r="D623" s="83"/>
      <c r="E623" s="81">
        <f>B623*D623</f>
        <v>0</v>
      </c>
      <c r="F623" s="61"/>
    </row>
    <row r="624" spans="1:6" ht="15.75" hidden="1" customHeight="1" outlineLevel="2" x14ac:dyDescent="0.2">
      <c r="A624" s="63" t="s">
        <v>655</v>
      </c>
      <c r="B624" s="80"/>
      <c r="C624" s="80"/>
      <c r="D624" s="80"/>
      <c r="E624" s="82"/>
      <c r="F624" s="61"/>
    </row>
    <row r="625" spans="1:6" ht="22.5" hidden="1" customHeight="1" outlineLevel="2" x14ac:dyDescent="0.2">
      <c r="A625" s="62" t="s">
        <v>656</v>
      </c>
      <c r="B625" s="79">
        <v>250</v>
      </c>
      <c r="C625" s="79" t="s">
        <v>15</v>
      </c>
      <c r="D625" s="83"/>
      <c r="E625" s="81">
        <f>B625*D625</f>
        <v>0</v>
      </c>
      <c r="F625" s="61"/>
    </row>
    <row r="626" spans="1:6" ht="15.75" hidden="1" customHeight="1" outlineLevel="2" x14ac:dyDescent="0.2">
      <c r="A626" s="63" t="s">
        <v>657</v>
      </c>
      <c r="B626" s="80"/>
      <c r="C626" s="80"/>
      <c r="D626" s="80"/>
      <c r="E626" s="82"/>
      <c r="F626" s="61"/>
    </row>
    <row r="627" spans="1:6" ht="22.5" hidden="1" customHeight="1" outlineLevel="2" x14ac:dyDescent="0.2">
      <c r="A627" s="62" t="s">
        <v>658</v>
      </c>
      <c r="B627" s="79">
        <v>150</v>
      </c>
      <c r="C627" s="79" t="s">
        <v>15</v>
      </c>
      <c r="D627" s="83"/>
      <c r="E627" s="81">
        <f>B627*D627</f>
        <v>0</v>
      </c>
      <c r="F627" s="61"/>
    </row>
    <row r="628" spans="1:6" ht="15.75" hidden="1" customHeight="1" outlineLevel="2" x14ac:dyDescent="0.2">
      <c r="A628" s="63" t="s">
        <v>659</v>
      </c>
      <c r="B628" s="80"/>
      <c r="C628" s="80"/>
      <c r="D628" s="80"/>
      <c r="E628" s="82"/>
      <c r="F628" s="61"/>
    </row>
    <row r="629" spans="1:6" ht="22.5" hidden="1" customHeight="1" outlineLevel="2" x14ac:dyDescent="0.2">
      <c r="A629" s="62" t="s">
        <v>660</v>
      </c>
      <c r="B629" s="79">
        <v>350</v>
      </c>
      <c r="C629" s="79" t="s">
        <v>15</v>
      </c>
      <c r="D629" s="83"/>
      <c r="E629" s="81">
        <f>B629*D629</f>
        <v>0</v>
      </c>
      <c r="F629" s="61"/>
    </row>
    <row r="630" spans="1:6" ht="15.75" hidden="1" customHeight="1" outlineLevel="2" x14ac:dyDescent="0.2">
      <c r="A630" s="63" t="s">
        <v>661</v>
      </c>
      <c r="B630" s="80"/>
      <c r="C630" s="80"/>
      <c r="D630" s="80"/>
      <c r="E630" s="82"/>
      <c r="F630" s="61"/>
    </row>
    <row r="631" spans="1:6" ht="22.5" hidden="1" customHeight="1" outlineLevel="2" x14ac:dyDescent="0.2">
      <c r="A631" s="62" t="s">
        <v>662</v>
      </c>
      <c r="B631" s="79">
        <v>75</v>
      </c>
      <c r="C631" s="79" t="s">
        <v>15</v>
      </c>
      <c r="D631" s="83"/>
      <c r="E631" s="81">
        <f>B631*D631</f>
        <v>0</v>
      </c>
      <c r="F631" s="61"/>
    </row>
    <row r="632" spans="1:6" ht="15.75" hidden="1" customHeight="1" outlineLevel="2" x14ac:dyDescent="0.2">
      <c r="A632" s="63" t="s">
        <v>663</v>
      </c>
      <c r="B632" s="80"/>
      <c r="C632" s="80"/>
      <c r="D632" s="80"/>
      <c r="E632" s="82"/>
      <c r="F632" s="61"/>
    </row>
    <row r="633" spans="1:6" ht="22.5" hidden="1" customHeight="1" outlineLevel="2" x14ac:dyDescent="0.2">
      <c r="A633" s="62" t="s">
        <v>664</v>
      </c>
      <c r="B633" s="79">
        <v>250</v>
      </c>
      <c r="C633" s="79" t="s">
        <v>15</v>
      </c>
      <c r="D633" s="83"/>
      <c r="E633" s="81">
        <f>B633*D633</f>
        <v>0</v>
      </c>
      <c r="F633" s="61"/>
    </row>
    <row r="634" spans="1:6" ht="15.75" hidden="1" customHeight="1" outlineLevel="2" x14ac:dyDescent="0.2">
      <c r="A634" s="63" t="s">
        <v>665</v>
      </c>
      <c r="B634" s="80"/>
      <c r="C634" s="80"/>
      <c r="D634" s="80"/>
      <c r="E634" s="82"/>
      <c r="F634" s="61"/>
    </row>
    <row r="635" spans="1:6" ht="22.5" hidden="1" customHeight="1" outlineLevel="2" x14ac:dyDescent="0.2">
      <c r="A635" s="62" t="s">
        <v>666</v>
      </c>
      <c r="B635" s="79">
        <v>600</v>
      </c>
      <c r="C635" s="79" t="s">
        <v>15</v>
      </c>
      <c r="D635" s="83"/>
      <c r="E635" s="81">
        <f>B635*D635</f>
        <v>0</v>
      </c>
      <c r="F635" s="61"/>
    </row>
    <row r="636" spans="1:6" ht="15.75" hidden="1" customHeight="1" outlineLevel="2" x14ac:dyDescent="0.2">
      <c r="A636" s="63" t="s">
        <v>667</v>
      </c>
      <c r="B636" s="80"/>
      <c r="C636" s="80"/>
      <c r="D636" s="80"/>
      <c r="E636" s="82"/>
      <c r="F636" s="61"/>
    </row>
    <row r="637" spans="1:6" ht="22.5" hidden="1" customHeight="1" outlineLevel="2" x14ac:dyDescent="0.2">
      <c r="A637" s="62" t="s">
        <v>668</v>
      </c>
      <c r="B637" s="79">
        <v>1485</v>
      </c>
      <c r="C637" s="79" t="s">
        <v>15</v>
      </c>
      <c r="D637" s="83"/>
      <c r="E637" s="81">
        <f>B637*D637</f>
        <v>0</v>
      </c>
      <c r="F637" s="61"/>
    </row>
    <row r="638" spans="1:6" ht="15.75" hidden="1" customHeight="1" outlineLevel="2" x14ac:dyDescent="0.2">
      <c r="A638" s="63" t="s">
        <v>669</v>
      </c>
      <c r="B638" s="80"/>
      <c r="C638" s="80"/>
      <c r="D638" s="80"/>
      <c r="E638" s="82"/>
      <c r="F638" s="61"/>
    </row>
    <row r="639" spans="1:6" ht="22.5" hidden="1" customHeight="1" outlineLevel="2" x14ac:dyDescent="0.2">
      <c r="A639" s="62" t="s">
        <v>670</v>
      </c>
      <c r="B639" s="79">
        <v>440</v>
      </c>
      <c r="C639" s="79" t="s">
        <v>15</v>
      </c>
      <c r="D639" s="83"/>
      <c r="E639" s="81">
        <f>B639*D639</f>
        <v>0</v>
      </c>
      <c r="F639" s="61"/>
    </row>
    <row r="640" spans="1:6" ht="15.75" hidden="1" customHeight="1" outlineLevel="2" x14ac:dyDescent="0.2">
      <c r="A640" s="63" t="s">
        <v>671</v>
      </c>
      <c r="B640" s="80"/>
      <c r="C640" s="80"/>
      <c r="D640" s="80"/>
      <c r="E640" s="82"/>
      <c r="F640" s="61"/>
    </row>
    <row r="641" spans="1:6" ht="11.25" customHeight="1" x14ac:dyDescent="0.2">
      <c r="A641" s="132" t="s">
        <v>12</v>
      </c>
      <c r="B641" s="85"/>
      <c r="C641" s="85"/>
      <c r="D641" s="85"/>
      <c r="E641" s="85"/>
      <c r="F641" s="17"/>
    </row>
    <row r="642" spans="1:6" ht="22.5" customHeight="1" x14ac:dyDescent="0.2">
      <c r="A642" s="127" t="s">
        <v>672</v>
      </c>
      <c r="B642" s="128"/>
      <c r="C642" s="128"/>
      <c r="D642" s="129"/>
      <c r="E642" s="36"/>
      <c r="F642" s="37">
        <f>F643+F678+F727</f>
        <v>0</v>
      </c>
    </row>
    <row r="643" spans="1:6" ht="22.5" customHeight="1" collapsed="1" x14ac:dyDescent="0.2">
      <c r="A643" s="89" t="s">
        <v>673</v>
      </c>
      <c r="B643" s="87"/>
      <c r="C643" s="87"/>
      <c r="D643" s="88"/>
      <c r="E643" s="38"/>
      <c r="F643" s="45">
        <f>SUM(E644:E677)</f>
        <v>0</v>
      </c>
    </row>
    <row r="644" spans="1:6" ht="22.5" hidden="1" customHeight="1" outlineLevel="1" x14ac:dyDescent="0.2">
      <c r="A644" s="62" t="s">
        <v>674</v>
      </c>
      <c r="B644" s="79">
        <v>150</v>
      </c>
      <c r="C644" s="79" t="s">
        <v>15</v>
      </c>
      <c r="D644" s="83"/>
      <c r="E644" s="81">
        <f>B644*D644</f>
        <v>0</v>
      </c>
      <c r="F644" s="61"/>
    </row>
    <row r="645" spans="1:6" ht="15.75" hidden="1" customHeight="1" outlineLevel="1" x14ac:dyDescent="0.2">
      <c r="A645" s="63" t="s">
        <v>675</v>
      </c>
      <c r="B645" s="80"/>
      <c r="C645" s="80"/>
      <c r="D645" s="80"/>
      <c r="E645" s="82"/>
      <c r="F645" s="61"/>
    </row>
    <row r="646" spans="1:6" ht="22.5" hidden="1" customHeight="1" outlineLevel="2" x14ac:dyDescent="0.2">
      <c r="A646" s="62" t="s">
        <v>676</v>
      </c>
      <c r="B646" s="79">
        <v>550</v>
      </c>
      <c r="C646" s="79" t="s">
        <v>15</v>
      </c>
      <c r="D646" s="83"/>
      <c r="E646" s="81">
        <f>B646*D646</f>
        <v>0</v>
      </c>
      <c r="F646" s="69"/>
    </row>
    <row r="647" spans="1:6" ht="15.75" hidden="1" customHeight="1" outlineLevel="2" x14ac:dyDescent="0.2">
      <c r="A647" s="63" t="s">
        <v>677</v>
      </c>
      <c r="B647" s="80"/>
      <c r="C647" s="80"/>
      <c r="D647" s="80"/>
      <c r="E647" s="82"/>
      <c r="F647" s="69"/>
    </row>
    <row r="648" spans="1:6" ht="22.5" hidden="1" customHeight="1" outlineLevel="2" x14ac:dyDescent="0.2">
      <c r="A648" s="62" t="s">
        <v>678</v>
      </c>
      <c r="B648" s="79">
        <v>1350</v>
      </c>
      <c r="C648" s="79" t="s">
        <v>15</v>
      </c>
      <c r="D648" s="83"/>
      <c r="E648" s="81">
        <f>B648*D648</f>
        <v>0</v>
      </c>
      <c r="F648" s="69"/>
    </row>
    <row r="649" spans="1:6" ht="15.75" hidden="1" customHeight="1" outlineLevel="2" x14ac:dyDescent="0.2">
      <c r="A649" s="63" t="s">
        <v>679</v>
      </c>
      <c r="B649" s="80"/>
      <c r="C649" s="80"/>
      <c r="D649" s="80"/>
      <c r="E649" s="82"/>
      <c r="F649" s="69"/>
    </row>
    <row r="650" spans="1:6" ht="22.5" hidden="1" customHeight="1" outlineLevel="2" x14ac:dyDescent="0.2">
      <c r="A650" s="62" t="s">
        <v>553</v>
      </c>
      <c r="B650" s="79">
        <v>50</v>
      </c>
      <c r="C650" s="79" t="s">
        <v>36</v>
      </c>
      <c r="D650" s="83"/>
      <c r="E650" s="81">
        <f>B650*D650</f>
        <v>0</v>
      </c>
      <c r="F650" s="61"/>
    </row>
    <row r="651" spans="1:6" ht="15.75" hidden="1" customHeight="1" outlineLevel="2" x14ac:dyDescent="0.2">
      <c r="A651" s="63" t="s">
        <v>680</v>
      </c>
      <c r="B651" s="80"/>
      <c r="C651" s="80"/>
      <c r="D651" s="80"/>
      <c r="E651" s="82"/>
      <c r="F651" s="61"/>
    </row>
    <row r="652" spans="1:6" ht="22.5" hidden="1" customHeight="1" outlineLevel="2" x14ac:dyDescent="0.2">
      <c r="A652" s="62" t="s">
        <v>681</v>
      </c>
      <c r="B652" s="79">
        <v>160</v>
      </c>
      <c r="C652" s="79" t="s">
        <v>36</v>
      </c>
      <c r="D652" s="83"/>
      <c r="E652" s="81">
        <f>B652*D652</f>
        <v>0</v>
      </c>
      <c r="F652" s="61"/>
    </row>
    <row r="653" spans="1:6" ht="15.75" hidden="1" customHeight="1" outlineLevel="2" x14ac:dyDescent="0.2">
      <c r="A653" s="63" t="s">
        <v>682</v>
      </c>
      <c r="B653" s="80"/>
      <c r="C653" s="80"/>
      <c r="D653" s="80"/>
      <c r="E653" s="82"/>
      <c r="F653" s="61"/>
    </row>
    <row r="654" spans="1:6" ht="22.5" hidden="1" customHeight="1" outlineLevel="2" x14ac:dyDescent="0.2">
      <c r="A654" s="62" t="s">
        <v>683</v>
      </c>
      <c r="B654" s="79">
        <v>3</v>
      </c>
      <c r="C654" s="79" t="s">
        <v>15</v>
      </c>
      <c r="D654" s="83"/>
      <c r="E654" s="81">
        <f>B654*D654</f>
        <v>0</v>
      </c>
      <c r="F654" s="61"/>
    </row>
    <row r="655" spans="1:6" ht="15.75" hidden="1" customHeight="1" outlineLevel="2" x14ac:dyDescent="0.2">
      <c r="A655" s="63" t="s">
        <v>558</v>
      </c>
      <c r="B655" s="80"/>
      <c r="C655" s="80"/>
      <c r="D655" s="80"/>
      <c r="E655" s="82"/>
      <c r="F655" s="61"/>
    </row>
    <row r="656" spans="1:6" ht="22.5" hidden="1" customHeight="1" outlineLevel="3" x14ac:dyDescent="0.2">
      <c r="A656" s="62" t="s">
        <v>561</v>
      </c>
      <c r="B656" s="79">
        <v>150</v>
      </c>
      <c r="C656" s="79" t="s">
        <v>15</v>
      </c>
      <c r="D656" s="83"/>
      <c r="E656" s="81">
        <f>B656*D656</f>
        <v>0</v>
      </c>
      <c r="F656" s="61"/>
    </row>
    <row r="657" spans="1:6" ht="15.75" hidden="1" customHeight="1" outlineLevel="3" x14ac:dyDescent="0.2">
      <c r="A657" s="63" t="s">
        <v>562</v>
      </c>
      <c r="B657" s="80"/>
      <c r="C657" s="80"/>
      <c r="D657" s="80"/>
      <c r="E657" s="82"/>
      <c r="F657" s="61"/>
    </row>
    <row r="658" spans="1:6" ht="22.5" hidden="1" customHeight="1" outlineLevel="3" x14ac:dyDescent="0.2">
      <c r="A658" s="62" t="s">
        <v>563</v>
      </c>
      <c r="B658" s="79">
        <v>150</v>
      </c>
      <c r="C658" s="79" t="s">
        <v>15</v>
      </c>
      <c r="D658" s="83"/>
      <c r="E658" s="81">
        <f>B658*D658</f>
        <v>0</v>
      </c>
      <c r="F658" s="61"/>
    </row>
    <row r="659" spans="1:6" ht="15.75" hidden="1" customHeight="1" outlineLevel="3" x14ac:dyDescent="0.2">
      <c r="A659" s="63" t="s">
        <v>564</v>
      </c>
      <c r="B659" s="80"/>
      <c r="C659" s="80"/>
      <c r="D659" s="80"/>
      <c r="E659" s="82"/>
      <c r="F659" s="61"/>
    </row>
    <row r="660" spans="1:6" ht="22.5" hidden="1" customHeight="1" outlineLevel="3" x14ac:dyDescent="0.2">
      <c r="A660" s="62" t="s">
        <v>565</v>
      </c>
      <c r="B660" s="79">
        <v>250</v>
      </c>
      <c r="C660" s="79" t="s">
        <v>15</v>
      </c>
      <c r="D660" s="83"/>
      <c r="E660" s="81">
        <f>B660*D660</f>
        <v>0</v>
      </c>
      <c r="F660" s="61"/>
    </row>
    <row r="661" spans="1:6" ht="15.75" hidden="1" customHeight="1" outlineLevel="3" x14ac:dyDescent="0.2">
      <c r="A661" s="63" t="s">
        <v>564</v>
      </c>
      <c r="B661" s="80"/>
      <c r="C661" s="80"/>
      <c r="D661" s="80"/>
      <c r="E661" s="82"/>
      <c r="F661" s="61"/>
    </row>
    <row r="662" spans="1:6" ht="22.5" hidden="1" customHeight="1" outlineLevel="3" x14ac:dyDescent="0.2">
      <c r="A662" s="62" t="s">
        <v>581</v>
      </c>
      <c r="B662" s="79">
        <v>28</v>
      </c>
      <c r="C662" s="79" t="s">
        <v>38</v>
      </c>
      <c r="D662" s="83"/>
      <c r="E662" s="81">
        <f>B662*D662</f>
        <v>0</v>
      </c>
      <c r="F662" s="131" t="s">
        <v>684</v>
      </c>
    </row>
    <row r="663" spans="1:6" ht="15.75" hidden="1" customHeight="1" outlineLevel="3" x14ac:dyDescent="0.2">
      <c r="A663" s="63" t="s">
        <v>685</v>
      </c>
      <c r="B663" s="80"/>
      <c r="C663" s="80"/>
      <c r="D663" s="80"/>
      <c r="E663" s="82"/>
      <c r="F663" s="78"/>
    </row>
    <row r="664" spans="1:6" ht="22.5" hidden="1" customHeight="1" outlineLevel="3" x14ac:dyDescent="0.2">
      <c r="A664" s="62" t="s">
        <v>583</v>
      </c>
      <c r="B664" s="79">
        <v>36</v>
      </c>
      <c r="C664" s="79" t="s">
        <v>38</v>
      </c>
      <c r="D664" s="83"/>
      <c r="E664" s="81">
        <f>B664*D664</f>
        <v>0</v>
      </c>
      <c r="F664" s="131" t="s">
        <v>820</v>
      </c>
    </row>
    <row r="665" spans="1:6" ht="15.75" hidden="1" customHeight="1" outlineLevel="3" x14ac:dyDescent="0.2">
      <c r="A665" s="63" t="s">
        <v>584</v>
      </c>
      <c r="B665" s="80"/>
      <c r="C665" s="80"/>
      <c r="D665" s="80"/>
      <c r="E665" s="82"/>
      <c r="F665" s="78"/>
    </row>
    <row r="666" spans="1:6" ht="22.5" hidden="1" customHeight="1" outlineLevel="3" x14ac:dyDescent="0.2">
      <c r="A666" s="62" t="s">
        <v>585</v>
      </c>
      <c r="B666" s="79">
        <v>6</v>
      </c>
      <c r="C666" s="79" t="s">
        <v>38</v>
      </c>
      <c r="D666" s="83"/>
      <c r="E666" s="81">
        <f>B666*D666</f>
        <v>0</v>
      </c>
      <c r="F666" s="109" t="s">
        <v>687</v>
      </c>
    </row>
    <row r="667" spans="1:6" ht="15.75" hidden="1" customHeight="1" outlineLevel="3" x14ac:dyDescent="0.2">
      <c r="A667" s="63" t="s">
        <v>586</v>
      </c>
      <c r="B667" s="80"/>
      <c r="C667" s="80"/>
      <c r="D667" s="80"/>
      <c r="E667" s="82"/>
      <c r="F667" s="78"/>
    </row>
    <row r="668" spans="1:6" ht="22.5" hidden="1" customHeight="1" outlineLevel="2" x14ac:dyDescent="0.2">
      <c r="A668" s="62" t="s">
        <v>589</v>
      </c>
      <c r="B668" s="79">
        <v>25</v>
      </c>
      <c r="C668" s="79" t="s">
        <v>38</v>
      </c>
      <c r="D668" s="83"/>
      <c r="E668" s="81">
        <f>B668*D668</f>
        <v>0</v>
      </c>
      <c r="F668" s="61"/>
    </row>
    <row r="669" spans="1:6" ht="15.75" hidden="1" customHeight="1" outlineLevel="2" x14ac:dyDescent="0.2">
      <c r="A669" s="63" t="s">
        <v>590</v>
      </c>
      <c r="B669" s="80"/>
      <c r="C669" s="80"/>
      <c r="D669" s="80"/>
      <c r="E669" s="82"/>
      <c r="F669" s="61"/>
    </row>
    <row r="670" spans="1:6" ht="22.5" hidden="1" customHeight="1" outlineLevel="2" x14ac:dyDescent="0.2">
      <c r="A670" s="62" t="s">
        <v>591</v>
      </c>
      <c r="B670" s="79">
        <v>150</v>
      </c>
      <c r="C670" s="79" t="s">
        <v>15</v>
      </c>
      <c r="D670" s="83"/>
      <c r="E670" s="81">
        <f>B670*D670</f>
        <v>0</v>
      </c>
      <c r="F670" s="61"/>
    </row>
    <row r="671" spans="1:6" ht="15.75" hidden="1" customHeight="1" outlineLevel="2" x14ac:dyDescent="0.2">
      <c r="A671" s="63" t="s">
        <v>592</v>
      </c>
      <c r="B671" s="80"/>
      <c r="C671" s="80"/>
      <c r="D671" s="80"/>
      <c r="E671" s="82"/>
      <c r="F671" s="61"/>
    </row>
    <row r="672" spans="1:6" ht="22.5" hidden="1" customHeight="1" outlineLevel="2" x14ac:dyDescent="0.2">
      <c r="A672" s="62" t="s">
        <v>688</v>
      </c>
      <c r="B672" s="79">
        <v>25</v>
      </c>
      <c r="C672" s="79" t="s">
        <v>38</v>
      </c>
      <c r="D672" s="83"/>
      <c r="E672" s="81">
        <f>B672*D672</f>
        <v>0</v>
      </c>
      <c r="F672" s="61"/>
    </row>
    <row r="673" spans="1:6" ht="15.75" hidden="1" customHeight="1" outlineLevel="2" x14ac:dyDescent="0.2">
      <c r="A673" s="63" t="s">
        <v>596</v>
      </c>
      <c r="B673" s="80"/>
      <c r="C673" s="80"/>
      <c r="D673" s="80"/>
      <c r="E673" s="82"/>
      <c r="F673" s="61"/>
    </row>
    <row r="674" spans="1:6" ht="22.5" hidden="1" customHeight="1" outlineLevel="2" x14ac:dyDescent="0.2">
      <c r="A674" s="62" t="s">
        <v>601</v>
      </c>
      <c r="B674" s="79">
        <v>500</v>
      </c>
      <c r="C674" s="79" t="s">
        <v>15</v>
      </c>
      <c r="D674" s="83"/>
      <c r="E674" s="81">
        <f>B674*D674</f>
        <v>0</v>
      </c>
      <c r="F674" s="61"/>
    </row>
    <row r="675" spans="1:6" ht="15.75" hidden="1" customHeight="1" outlineLevel="2" x14ac:dyDescent="0.2">
      <c r="A675" s="63" t="s">
        <v>602</v>
      </c>
      <c r="B675" s="80"/>
      <c r="C675" s="80"/>
      <c r="D675" s="80"/>
      <c r="E675" s="82"/>
      <c r="F675" s="61"/>
    </row>
    <row r="676" spans="1:6" ht="22.5" hidden="1" customHeight="1" outlineLevel="2" x14ac:dyDescent="0.2">
      <c r="A676" s="62" t="s">
        <v>689</v>
      </c>
      <c r="B676" s="79">
        <v>250</v>
      </c>
      <c r="C676" s="79" t="s">
        <v>15</v>
      </c>
      <c r="D676" s="83"/>
      <c r="E676" s="81">
        <f>B676*D676</f>
        <v>0</v>
      </c>
      <c r="F676" s="61"/>
    </row>
    <row r="677" spans="1:6" ht="15.75" hidden="1" customHeight="1" outlineLevel="2" x14ac:dyDescent="0.2">
      <c r="A677" s="63" t="s">
        <v>690</v>
      </c>
      <c r="B677" s="80"/>
      <c r="C677" s="80"/>
      <c r="D677" s="80"/>
      <c r="E677" s="82"/>
      <c r="F677" s="61"/>
    </row>
    <row r="678" spans="1:6" ht="22.5" customHeight="1" collapsed="1" x14ac:dyDescent="0.2">
      <c r="A678" s="89" t="s">
        <v>691</v>
      </c>
      <c r="B678" s="87"/>
      <c r="C678" s="87"/>
      <c r="D678" s="88"/>
      <c r="E678" s="38"/>
      <c r="F678" s="45">
        <f>SUM(E679:E726)</f>
        <v>0</v>
      </c>
    </row>
    <row r="679" spans="1:6" ht="22.5" hidden="1" customHeight="1" outlineLevel="1" x14ac:dyDescent="0.2">
      <c r="A679" s="62" t="s">
        <v>692</v>
      </c>
      <c r="B679" s="79">
        <v>500</v>
      </c>
      <c r="C679" s="79" t="s">
        <v>15</v>
      </c>
      <c r="D679" s="83"/>
      <c r="E679" s="81">
        <f>B679*D679</f>
        <v>0</v>
      </c>
      <c r="F679" s="61"/>
    </row>
    <row r="680" spans="1:6" ht="15.75" hidden="1" customHeight="1" outlineLevel="1" x14ac:dyDescent="0.2">
      <c r="A680" s="63" t="s">
        <v>693</v>
      </c>
      <c r="B680" s="80"/>
      <c r="C680" s="80"/>
      <c r="D680" s="80"/>
      <c r="E680" s="82"/>
      <c r="F680" s="61"/>
    </row>
    <row r="681" spans="1:6" ht="22.5" hidden="1" customHeight="1" outlineLevel="1" x14ac:dyDescent="0.2">
      <c r="A681" s="62" t="s">
        <v>694</v>
      </c>
      <c r="B681" s="79">
        <v>700</v>
      </c>
      <c r="C681" s="79" t="s">
        <v>15</v>
      </c>
      <c r="D681" s="83"/>
      <c r="E681" s="81">
        <f>B681*D681</f>
        <v>0</v>
      </c>
      <c r="F681" s="61"/>
    </row>
    <row r="682" spans="1:6" ht="15.75" hidden="1" customHeight="1" outlineLevel="1" x14ac:dyDescent="0.2">
      <c r="A682" s="63" t="s">
        <v>695</v>
      </c>
      <c r="B682" s="80"/>
      <c r="C682" s="80"/>
      <c r="D682" s="80"/>
      <c r="E682" s="82"/>
      <c r="F682" s="61"/>
    </row>
    <row r="683" spans="1:6" ht="22.5" hidden="1" customHeight="1" outlineLevel="1" x14ac:dyDescent="0.2">
      <c r="A683" s="62" t="s">
        <v>696</v>
      </c>
      <c r="B683" s="79">
        <v>18</v>
      </c>
      <c r="C683" s="79" t="s">
        <v>38</v>
      </c>
      <c r="D683" s="83"/>
      <c r="E683" s="81">
        <f>B683*D683</f>
        <v>0</v>
      </c>
      <c r="F683" s="131" t="s">
        <v>697</v>
      </c>
    </row>
    <row r="684" spans="1:6" ht="15.75" hidden="1" customHeight="1" outlineLevel="1" x14ac:dyDescent="0.2">
      <c r="A684" s="63" t="s">
        <v>698</v>
      </c>
      <c r="B684" s="80"/>
      <c r="C684" s="80"/>
      <c r="D684" s="80"/>
      <c r="E684" s="82"/>
      <c r="F684" s="78"/>
    </row>
    <row r="685" spans="1:6" ht="22.5" hidden="1" customHeight="1" outlineLevel="2" x14ac:dyDescent="0.2">
      <c r="A685" s="62" t="s">
        <v>699</v>
      </c>
      <c r="B685" s="79">
        <v>26</v>
      </c>
      <c r="C685" s="79" t="s">
        <v>38</v>
      </c>
      <c r="D685" s="83"/>
      <c r="E685" s="81">
        <f>B685*D685</f>
        <v>0</v>
      </c>
      <c r="F685" s="131" t="s">
        <v>821</v>
      </c>
    </row>
    <row r="686" spans="1:6" ht="15.75" hidden="1" customHeight="1" outlineLevel="2" x14ac:dyDescent="0.2">
      <c r="A686" s="63" t="s">
        <v>701</v>
      </c>
      <c r="B686" s="80"/>
      <c r="C686" s="80"/>
      <c r="D686" s="80"/>
      <c r="E686" s="82"/>
      <c r="F686" s="78"/>
    </row>
    <row r="687" spans="1:6" ht="22.5" hidden="1" customHeight="1" outlineLevel="1" x14ac:dyDescent="0.2">
      <c r="A687" s="62" t="s">
        <v>702</v>
      </c>
      <c r="B687" s="79">
        <v>6</v>
      </c>
      <c r="C687" s="79" t="s">
        <v>38</v>
      </c>
      <c r="D687" s="83">
        <f>D683*1.2</f>
        <v>0</v>
      </c>
      <c r="E687" s="81">
        <f>B687*D687</f>
        <v>0</v>
      </c>
      <c r="F687" s="61"/>
    </row>
    <row r="688" spans="1:6" ht="15.75" hidden="1" customHeight="1" outlineLevel="1" x14ac:dyDescent="0.2">
      <c r="A688" s="63" t="s">
        <v>703</v>
      </c>
      <c r="B688" s="80"/>
      <c r="C688" s="80"/>
      <c r="D688" s="80"/>
      <c r="E688" s="82"/>
      <c r="F688" s="61"/>
    </row>
    <row r="689" spans="1:6" ht="22.5" hidden="1" customHeight="1" outlineLevel="1" x14ac:dyDescent="0.2">
      <c r="A689" s="62" t="s">
        <v>704</v>
      </c>
      <c r="B689" s="79">
        <v>18</v>
      </c>
      <c r="C689" s="79" t="s">
        <v>38</v>
      </c>
      <c r="D689" s="83"/>
      <c r="E689" s="81">
        <f>B689*D689</f>
        <v>0</v>
      </c>
      <c r="F689" s="131" t="s">
        <v>705</v>
      </c>
    </row>
    <row r="690" spans="1:6" ht="15.75" hidden="1" customHeight="1" outlineLevel="1" x14ac:dyDescent="0.2">
      <c r="A690" s="63" t="s">
        <v>706</v>
      </c>
      <c r="B690" s="80"/>
      <c r="C690" s="80"/>
      <c r="D690" s="80"/>
      <c r="E690" s="82"/>
      <c r="F690" s="78"/>
    </row>
    <row r="691" spans="1:6" ht="22.5" hidden="1" customHeight="1" outlineLevel="2" x14ac:dyDescent="0.2">
      <c r="A691" s="62" t="s">
        <v>707</v>
      </c>
      <c r="B691" s="79">
        <v>26</v>
      </c>
      <c r="C691" s="79" t="s">
        <v>38</v>
      </c>
      <c r="D691" s="83"/>
      <c r="E691" s="81">
        <f>B691*D691</f>
        <v>0</v>
      </c>
      <c r="F691" s="131" t="s">
        <v>822</v>
      </c>
    </row>
    <row r="692" spans="1:6" ht="15.75" hidden="1" customHeight="1" outlineLevel="2" x14ac:dyDescent="0.2">
      <c r="A692" s="63" t="s">
        <v>709</v>
      </c>
      <c r="B692" s="80"/>
      <c r="C692" s="80"/>
      <c r="D692" s="80"/>
      <c r="E692" s="82"/>
      <c r="F692" s="78"/>
    </row>
    <row r="693" spans="1:6" ht="22.5" hidden="1" customHeight="1" outlineLevel="1" x14ac:dyDescent="0.2">
      <c r="A693" s="62" t="s">
        <v>710</v>
      </c>
      <c r="B693" s="79">
        <v>15</v>
      </c>
      <c r="C693" s="79" t="s">
        <v>38</v>
      </c>
      <c r="D693" s="83">
        <f>D689*1.2</f>
        <v>0</v>
      </c>
      <c r="E693" s="81">
        <f>B693*D693</f>
        <v>0</v>
      </c>
      <c r="F693" s="109" t="s">
        <v>711</v>
      </c>
    </row>
    <row r="694" spans="1:6" ht="15.75" hidden="1" customHeight="1" outlineLevel="1" x14ac:dyDescent="0.2">
      <c r="A694" s="63" t="s">
        <v>712</v>
      </c>
      <c r="B694" s="80"/>
      <c r="C694" s="80"/>
      <c r="D694" s="80"/>
      <c r="E694" s="82"/>
      <c r="F694" s="78"/>
    </row>
    <row r="695" spans="1:6" ht="22.5" hidden="1" customHeight="1" outlineLevel="1" x14ac:dyDescent="0.2">
      <c r="A695" s="62" t="s">
        <v>713</v>
      </c>
      <c r="B695" s="79">
        <v>1000</v>
      </c>
      <c r="C695" s="79" t="s">
        <v>15</v>
      </c>
      <c r="D695" s="83"/>
      <c r="E695" s="81">
        <f>B695*D695</f>
        <v>0</v>
      </c>
      <c r="F695" s="61"/>
    </row>
    <row r="696" spans="1:6" ht="15.75" hidden="1" customHeight="1" outlineLevel="1" x14ac:dyDescent="0.2">
      <c r="A696" s="63" t="s">
        <v>714</v>
      </c>
      <c r="B696" s="80"/>
      <c r="C696" s="80"/>
      <c r="D696" s="80"/>
      <c r="E696" s="82"/>
      <c r="F696" s="61"/>
    </row>
    <row r="697" spans="1:6" ht="22.5" hidden="1" customHeight="1" outlineLevel="1" x14ac:dyDescent="0.2">
      <c r="A697" s="62" t="s">
        <v>715</v>
      </c>
      <c r="B697" s="79">
        <v>550</v>
      </c>
      <c r="C697" s="79" t="s">
        <v>15</v>
      </c>
      <c r="D697" s="83">
        <f>D695</f>
        <v>0</v>
      </c>
      <c r="E697" s="81">
        <f>B697*D697</f>
        <v>0</v>
      </c>
      <c r="F697" s="61"/>
    </row>
    <row r="698" spans="1:6" ht="15.75" hidden="1" customHeight="1" outlineLevel="1" x14ac:dyDescent="0.2">
      <c r="A698" s="63" t="s">
        <v>716</v>
      </c>
      <c r="B698" s="80"/>
      <c r="C698" s="80"/>
      <c r="D698" s="80"/>
      <c r="E698" s="82"/>
      <c r="F698" s="61"/>
    </row>
    <row r="699" spans="1:6" ht="22.5" hidden="1" customHeight="1" outlineLevel="2" x14ac:dyDescent="0.2">
      <c r="A699" s="62" t="s">
        <v>717</v>
      </c>
      <c r="B699" s="79">
        <v>45</v>
      </c>
      <c r="C699" s="79" t="s">
        <v>38</v>
      </c>
      <c r="D699" s="83"/>
      <c r="E699" s="81">
        <f>B699*D699</f>
        <v>0</v>
      </c>
      <c r="F699" s="61"/>
    </row>
    <row r="700" spans="1:6" ht="15.75" hidden="1" customHeight="1" outlineLevel="2" x14ac:dyDescent="0.2">
      <c r="A700" s="63" t="s">
        <v>718</v>
      </c>
      <c r="B700" s="80"/>
      <c r="C700" s="80"/>
      <c r="D700" s="80"/>
      <c r="E700" s="82"/>
      <c r="F700" s="61"/>
    </row>
    <row r="701" spans="1:6" ht="22.5" hidden="1" customHeight="1" outlineLevel="2" x14ac:dyDescent="0.2">
      <c r="A701" s="62" t="s">
        <v>719</v>
      </c>
      <c r="B701" s="79">
        <v>100</v>
      </c>
      <c r="C701" s="79" t="s">
        <v>15</v>
      </c>
      <c r="D701" s="83"/>
      <c r="E701" s="81">
        <f>B701*D701</f>
        <v>0</v>
      </c>
      <c r="F701" s="61"/>
    </row>
    <row r="702" spans="1:6" ht="15.75" hidden="1" customHeight="1" outlineLevel="2" x14ac:dyDescent="0.2">
      <c r="A702" s="63" t="s">
        <v>720</v>
      </c>
      <c r="B702" s="80"/>
      <c r="C702" s="80"/>
      <c r="D702" s="80"/>
      <c r="E702" s="82"/>
      <c r="F702" s="61"/>
    </row>
    <row r="703" spans="1:6" ht="22.5" hidden="1" customHeight="1" outlineLevel="2" x14ac:dyDescent="0.2">
      <c r="A703" s="62" t="s">
        <v>721</v>
      </c>
      <c r="B703" s="79">
        <v>50</v>
      </c>
      <c r="C703" s="79" t="s">
        <v>15</v>
      </c>
      <c r="D703" s="83"/>
      <c r="E703" s="81">
        <f>B703*D703</f>
        <v>0</v>
      </c>
      <c r="F703" s="61"/>
    </row>
    <row r="704" spans="1:6" ht="15.75" hidden="1" customHeight="1" outlineLevel="2" x14ac:dyDescent="0.2">
      <c r="A704" s="63" t="s">
        <v>722</v>
      </c>
      <c r="B704" s="80"/>
      <c r="C704" s="80"/>
      <c r="D704" s="80"/>
      <c r="E704" s="82"/>
      <c r="F704" s="61"/>
    </row>
    <row r="705" spans="1:6" ht="22.5" hidden="1" customHeight="1" outlineLevel="2" x14ac:dyDescent="0.2">
      <c r="A705" s="62" t="s">
        <v>723</v>
      </c>
      <c r="B705" s="79">
        <v>50</v>
      </c>
      <c r="C705" s="79" t="s">
        <v>15</v>
      </c>
      <c r="D705" s="83"/>
      <c r="E705" s="81">
        <f>B705*D705</f>
        <v>0</v>
      </c>
      <c r="F705" s="61"/>
    </row>
    <row r="706" spans="1:6" ht="15.75" hidden="1" customHeight="1" outlineLevel="2" x14ac:dyDescent="0.2">
      <c r="A706" s="63" t="s">
        <v>724</v>
      </c>
      <c r="B706" s="80"/>
      <c r="C706" s="80"/>
      <c r="D706" s="80"/>
      <c r="E706" s="82"/>
      <c r="F706" s="61"/>
    </row>
    <row r="707" spans="1:6" ht="22.5" hidden="1" customHeight="1" outlineLevel="2" x14ac:dyDescent="0.2">
      <c r="A707" s="62" t="s">
        <v>725</v>
      </c>
      <c r="B707" s="79">
        <v>305</v>
      </c>
      <c r="C707" s="79" t="s">
        <v>15</v>
      </c>
      <c r="D707" s="83"/>
      <c r="E707" s="81">
        <f>B707*D707</f>
        <v>0</v>
      </c>
      <c r="F707" s="61"/>
    </row>
    <row r="708" spans="1:6" ht="15.75" hidden="1" customHeight="1" outlineLevel="2" x14ac:dyDescent="0.2">
      <c r="A708" s="63" t="s">
        <v>726</v>
      </c>
      <c r="B708" s="80"/>
      <c r="C708" s="80"/>
      <c r="D708" s="80"/>
      <c r="E708" s="82"/>
      <c r="F708" s="61"/>
    </row>
    <row r="709" spans="1:6" ht="22.5" hidden="1" customHeight="1" outlineLevel="2" x14ac:dyDescent="0.2">
      <c r="A709" s="62" t="s">
        <v>727</v>
      </c>
      <c r="B709" s="79">
        <v>510</v>
      </c>
      <c r="C709" s="79" t="s">
        <v>15</v>
      </c>
      <c r="D709" s="83"/>
      <c r="E709" s="81">
        <f>B709*D709</f>
        <v>0</v>
      </c>
      <c r="F709" s="61"/>
    </row>
    <row r="710" spans="1:6" ht="15.75" hidden="1" customHeight="1" outlineLevel="2" x14ac:dyDescent="0.2">
      <c r="A710" s="63" t="s">
        <v>728</v>
      </c>
      <c r="B710" s="80"/>
      <c r="C710" s="80"/>
      <c r="D710" s="80"/>
      <c r="E710" s="82"/>
      <c r="F710" s="61"/>
    </row>
    <row r="711" spans="1:6" ht="22.5" hidden="1" customHeight="1" outlineLevel="1" x14ac:dyDescent="0.2">
      <c r="A711" s="62" t="s">
        <v>729</v>
      </c>
      <c r="B711" s="79">
        <v>500</v>
      </c>
      <c r="C711" s="79" t="s">
        <v>15</v>
      </c>
      <c r="D711" s="83"/>
      <c r="E711" s="81">
        <f>B711*D711</f>
        <v>0</v>
      </c>
      <c r="F711" s="61"/>
    </row>
    <row r="712" spans="1:6" ht="15.75" hidden="1" customHeight="1" outlineLevel="1" x14ac:dyDescent="0.2">
      <c r="A712" s="63" t="s">
        <v>730</v>
      </c>
      <c r="B712" s="80"/>
      <c r="C712" s="80"/>
      <c r="D712" s="80"/>
      <c r="E712" s="82"/>
      <c r="F712" s="61"/>
    </row>
    <row r="713" spans="1:6" ht="22.5" hidden="1" customHeight="1" outlineLevel="2" x14ac:dyDescent="0.2">
      <c r="A713" s="62" t="s">
        <v>731</v>
      </c>
      <c r="B713" s="79">
        <v>500</v>
      </c>
      <c r="C713" s="79" t="s">
        <v>15</v>
      </c>
      <c r="D713" s="83"/>
      <c r="E713" s="81">
        <f>B713*D713</f>
        <v>0</v>
      </c>
      <c r="F713" s="61"/>
    </row>
    <row r="714" spans="1:6" ht="15.75" hidden="1" customHeight="1" outlineLevel="2" x14ac:dyDescent="0.2">
      <c r="A714" s="63" t="s">
        <v>732</v>
      </c>
      <c r="B714" s="80"/>
      <c r="C714" s="80"/>
      <c r="D714" s="80"/>
      <c r="E714" s="82"/>
      <c r="F714" s="61"/>
    </row>
    <row r="715" spans="1:6" ht="22.5" hidden="1" customHeight="1" outlineLevel="1" x14ac:dyDescent="0.2">
      <c r="A715" s="62" t="s">
        <v>733</v>
      </c>
      <c r="B715" s="79">
        <v>500</v>
      </c>
      <c r="C715" s="79" t="s">
        <v>15</v>
      </c>
      <c r="D715" s="83"/>
      <c r="E715" s="81">
        <f>B715*D715</f>
        <v>0</v>
      </c>
      <c r="F715" s="61"/>
    </row>
    <row r="716" spans="1:6" ht="15.75" hidden="1" customHeight="1" outlineLevel="1" x14ac:dyDescent="0.2">
      <c r="A716" s="63" t="s">
        <v>734</v>
      </c>
      <c r="B716" s="80"/>
      <c r="C716" s="80"/>
      <c r="D716" s="80"/>
      <c r="E716" s="82"/>
      <c r="F716" s="61"/>
    </row>
    <row r="717" spans="1:6" ht="22.5" hidden="1" customHeight="1" outlineLevel="2" x14ac:dyDescent="0.2">
      <c r="A717" s="62" t="s">
        <v>735</v>
      </c>
      <c r="B717" s="79">
        <v>350</v>
      </c>
      <c r="C717" s="79" t="s">
        <v>15</v>
      </c>
      <c r="D717" s="83"/>
      <c r="E717" s="81">
        <f>B717*D717</f>
        <v>0</v>
      </c>
      <c r="F717" s="61"/>
    </row>
    <row r="718" spans="1:6" ht="15.75" hidden="1" customHeight="1" outlineLevel="2" x14ac:dyDescent="0.2">
      <c r="A718" s="63" t="s">
        <v>736</v>
      </c>
      <c r="B718" s="80"/>
      <c r="C718" s="80"/>
      <c r="D718" s="80"/>
      <c r="E718" s="82"/>
      <c r="F718" s="61"/>
    </row>
    <row r="719" spans="1:6" ht="22.5" hidden="1" customHeight="1" outlineLevel="2" x14ac:dyDescent="0.2">
      <c r="A719" s="62" t="s">
        <v>737</v>
      </c>
      <c r="B719" s="79">
        <v>400</v>
      </c>
      <c r="C719" s="79" t="s">
        <v>15</v>
      </c>
      <c r="D719" s="83"/>
      <c r="E719" s="81">
        <f>B719*D719</f>
        <v>0</v>
      </c>
      <c r="F719" s="61"/>
    </row>
    <row r="720" spans="1:6" ht="15.75" hidden="1" customHeight="1" outlineLevel="2" x14ac:dyDescent="0.2">
      <c r="A720" s="63" t="s">
        <v>738</v>
      </c>
      <c r="B720" s="80"/>
      <c r="C720" s="80"/>
      <c r="D720" s="80"/>
      <c r="E720" s="82"/>
      <c r="F720" s="61"/>
    </row>
    <row r="721" spans="1:6" ht="22.5" hidden="1" customHeight="1" outlineLevel="2" x14ac:dyDescent="0.2">
      <c r="A721" s="62" t="s">
        <v>739</v>
      </c>
      <c r="B721" s="79">
        <v>700</v>
      </c>
      <c r="C721" s="79" t="s">
        <v>15</v>
      </c>
      <c r="D721" s="83"/>
      <c r="E721" s="81">
        <f>B721*D721</f>
        <v>0</v>
      </c>
      <c r="F721" s="61"/>
    </row>
    <row r="722" spans="1:6" ht="15.75" hidden="1" customHeight="1" outlineLevel="2" x14ac:dyDescent="0.2">
      <c r="A722" s="63" t="s">
        <v>740</v>
      </c>
      <c r="B722" s="80"/>
      <c r="C722" s="80"/>
      <c r="D722" s="80"/>
      <c r="E722" s="82"/>
      <c r="F722" s="61"/>
    </row>
    <row r="723" spans="1:6" ht="22.5" hidden="1" customHeight="1" outlineLevel="2" x14ac:dyDescent="0.2">
      <c r="A723" s="62" t="s">
        <v>741</v>
      </c>
      <c r="B723" s="79">
        <v>200</v>
      </c>
      <c r="C723" s="79" t="s">
        <v>15</v>
      </c>
      <c r="D723" s="83"/>
      <c r="E723" s="81">
        <f>B723*D723</f>
        <v>0</v>
      </c>
      <c r="F723" s="61"/>
    </row>
    <row r="724" spans="1:6" ht="15.75" hidden="1" customHeight="1" outlineLevel="2" x14ac:dyDescent="0.2">
      <c r="A724" s="63" t="s">
        <v>742</v>
      </c>
      <c r="B724" s="80"/>
      <c r="C724" s="80"/>
      <c r="D724" s="80"/>
      <c r="E724" s="82"/>
      <c r="F724" s="61"/>
    </row>
    <row r="725" spans="1:6" ht="22.5" hidden="1" customHeight="1" outlineLevel="2" x14ac:dyDescent="0.2">
      <c r="A725" s="62" t="s">
        <v>743</v>
      </c>
      <c r="B725" s="79">
        <v>400</v>
      </c>
      <c r="C725" s="79" t="s">
        <v>15</v>
      </c>
      <c r="D725" s="83"/>
      <c r="E725" s="81">
        <f>B725*D725</f>
        <v>0</v>
      </c>
      <c r="F725" s="61"/>
    </row>
    <row r="726" spans="1:6" ht="15.75" hidden="1" customHeight="1" outlineLevel="2" x14ac:dyDescent="0.2">
      <c r="A726" s="63" t="s">
        <v>744</v>
      </c>
      <c r="B726" s="80"/>
      <c r="C726" s="80"/>
      <c r="D726" s="80"/>
      <c r="E726" s="82"/>
      <c r="F726" s="61"/>
    </row>
    <row r="727" spans="1:6" ht="22.5" customHeight="1" collapsed="1" x14ac:dyDescent="0.2">
      <c r="A727" s="89" t="s">
        <v>745</v>
      </c>
      <c r="B727" s="87"/>
      <c r="C727" s="87"/>
      <c r="D727" s="88"/>
      <c r="E727" s="38"/>
      <c r="F727" s="45">
        <f>SUM(E728:E745)</f>
        <v>0</v>
      </c>
    </row>
    <row r="728" spans="1:6" ht="22.5" hidden="1" customHeight="1" outlineLevel="1" x14ac:dyDescent="0.2">
      <c r="A728" s="62" t="s">
        <v>746</v>
      </c>
      <c r="B728" s="79">
        <v>500</v>
      </c>
      <c r="C728" s="79" t="s">
        <v>15</v>
      </c>
      <c r="D728" s="83"/>
      <c r="E728" s="81">
        <f>B728*D728</f>
        <v>0</v>
      </c>
      <c r="F728" s="61"/>
    </row>
    <row r="729" spans="1:6" ht="15.75" hidden="1" customHeight="1" outlineLevel="1" x14ac:dyDescent="0.2">
      <c r="A729" s="63" t="s">
        <v>747</v>
      </c>
      <c r="B729" s="80"/>
      <c r="C729" s="80"/>
      <c r="D729" s="80"/>
      <c r="E729" s="82"/>
      <c r="F729" s="61"/>
    </row>
    <row r="730" spans="1:6" ht="22.5" hidden="1" customHeight="1" outlineLevel="2" x14ac:dyDescent="0.2">
      <c r="A730" s="62" t="s">
        <v>748</v>
      </c>
      <c r="B730" s="79">
        <v>90</v>
      </c>
      <c r="C730" s="79" t="s">
        <v>15</v>
      </c>
      <c r="D730" s="83"/>
      <c r="E730" s="81">
        <f>B730*D730</f>
        <v>0</v>
      </c>
      <c r="F730" s="61"/>
    </row>
    <row r="731" spans="1:6" ht="15.75" hidden="1" customHeight="1" outlineLevel="2" x14ac:dyDescent="0.2">
      <c r="A731" s="63" t="s">
        <v>749</v>
      </c>
      <c r="B731" s="80"/>
      <c r="C731" s="80"/>
      <c r="D731" s="80"/>
      <c r="E731" s="82"/>
      <c r="F731" s="61"/>
    </row>
    <row r="732" spans="1:6" ht="22.5" hidden="1" customHeight="1" outlineLevel="2" x14ac:dyDescent="0.2">
      <c r="A732" s="62" t="s">
        <v>750</v>
      </c>
      <c r="B732" s="79">
        <v>110</v>
      </c>
      <c r="C732" s="79" t="s">
        <v>15</v>
      </c>
      <c r="D732" s="83"/>
      <c r="E732" s="81">
        <f>B732*D732</f>
        <v>0</v>
      </c>
      <c r="F732" s="61"/>
    </row>
    <row r="733" spans="1:6" ht="15.75" hidden="1" customHeight="1" outlineLevel="2" x14ac:dyDescent="0.2">
      <c r="A733" s="63" t="s">
        <v>751</v>
      </c>
      <c r="B733" s="80"/>
      <c r="C733" s="80"/>
      <c r="D733" s="80"/>
      <c r="E733" s="82"/>
      <c r="F733" s="61"/>
    </row>
    <row r="734" spans="1:6" ht="22.5" hidden="1" customHeight="1" outlineLevel="1" x14ac:dyDescent="0.2">
      <c r="A734" s="62" t="s">
        <v>752</v>
      </c>
      <c r="B734" s="79">
        <v>80</v>
      </c>
      <c r="C734" s="79" t="s">
        <v>15</v>
      </c>
      <c r="D734" s="83"/>
      <c r="E734" s="81">
        <f>B734*D734</f>
        <v>0</v>
      </c>
      <c r="F734" s="61"/>
    </row>
    <row r="735" spans="1:6" ht="15.75" hidden="1" customHeight="1" outlineLevel="1" x14ac:dyDescent="0.2">
      <c r="A735" s="63" t="s">
        <v>753</v>
      </c>
      <c r="B735" s="80"/>
      <c r="C735" s="80"/>
      <c r="D735" s="80"/>
      <c r="E735" s="82"/>
      <c r="F735" s="61"/>
    </row>
    <row r="736" spans="1:6" ht="22.5" hidden="1" customHeight="1" outlineLevel="2" x14ac:dyDescent="0.2">
      <c r="A736" s="62" t="s">
        <v>754</v>
      </c>
      <c r="B736" s="79">
        <v>65</v>
      </c>
      <c r="C736" s="79" t="s">
        <v>15</v>
      </c>
      <c r="D736" s="83"/>
      <c r="E736" s="81">
        <f>B736*D736</f>
        <v>0</v>
      </c>
      <c r="F736" s="61"/>
    </row>
    <row r="737" spans="1:6" ht="15.75" hidden="1" customHeight="1" outlineLevel="2" x14ac:dyDescent="0.2">
      <c r="A737" s="63" t="s">
        <v>755</v>
      </c>
      <c r="B737" s="80"/>
      <c r="C737" s="80"/>
      <c r="D737" s="80"/>
      <c r="E737" s="82"/>
      <c r="F737" s="61"/>
    </row>
    <row r="738" spans="1:6" ht="22.5" hidden="1" customHeight="1" outlineLevel="1" x14ac:dyDescent="0.2">
      <c r="A738" s="62" t="s">
        <v>756</v>
      </c>
      <c r="B738" s="79">
        <v>50</v>
      </c>
      <c r="C738" s="79" t="s">
        <v>15</v>
      </c>
      <c r="D738" s="83"/>
      <c r="E738" s="81">
        <f>B738*D738</f>
        <v>0</v>
      </c>
      <c r="F738" s="61"/>
    </row>
    <row r="739" spans="1:6" ht="15.75" hidden="1" customHeight="1" outlineLevel="1" x14ac:dyDescent="0.2">
      <c r="A739" s="63" t="s">
        <v>757</v>
      </c>
      <c r="B739" s="80"/>
      <c r="C739" s="80"/>
      <c r="D739" s="80"/>
      <c r="E739" s="82"/>
      <c r="F739" s="61"/>
    </row>
    <row r="740" spans="1:6" ht="22.5" hidden="1" customHeight="1" outlineLevel="2" x14ac:dyDescent="0.2">
      <c r="A740" s="62" t="s">
        <v>758</v>
      </c>
      <c r="B740" s="79">
        <v>60</v>
      </c>
      <c r="C740" s="79" t="s">
        <v>15</v>
      </c>
      <c r="D740" s="83"/>
      <c r="E740" s="81">
        <f>B740*D740</f>
        <v>0</v>
      </c>
      <c r="F740" s="61"/>
    </row>
    <row r="741" spans="1:6" ht="15.75" hidden="1" customHeight="1" outlineLevel="2" x14ac:dyDescent="0.2">
      <c r="A741" s="63" t="s">
        <v>759</v>
      </c>
      <c r="B741" s="80"/>
      <c r="C741" s="80"/>
      <c r="D741" s="80"/>
      <c r="E741" s="82"/>
      <c r="F741" s="61"/>
    </row>
    <row r="742" spans="1:6" ht="22.5" hidden="1" customHeight="1" outlineLevel="2" x14ac:dyDescent="0.2">
      <c r="A742" s="62" t="s">
        <v>614</v>
      </c>
      <c r="B742" s="79">
        <v>100</v>
      </c>
      <c r="C742" s="79" t="s">
        <v>15</v>
      </c>
      <c r="D742" s="83"/>
      <c r="E742" s="81">
        <f>B742*D742</f>
        <v>0</v>
      </c>
      <c r="F742" s="61"/>
    </row>
    <row r="743" spans="1:6" ht="15.75" hidden="1" customHeight="1" outlineLevel="2" x14ac:dyDescent="0.2">
      <c r="A743" s="63" t="s">
        <v>615</v>
      </c>
      <c r="B743" s="80"/>
      <c r="C743" s="80"/>
      <c r="D743" s="80"/>
      <c r="E743" s="82"/>
      <c r="F743" s="61"/>
    </row>
    <row r="744" spans="1:6" ht="22.5" hidden="1" customHeight="1" outlineLevel="2" x14ac:dyDescent="0.2">
      <c r="A744" s="62" t="s">
        <v>616</v>
      </c>
      <c r="B744" s="79">
        <v>100</v>
      </c>
      <c r="C744" s="79" t="s">
        <v>15</v>
      </c>
      <c r="D744" s="83"/>
      <c r="E744" s="81">
        <f>B744*D744</f>
        <v>0</v>
      </c>
      <c r="F744" s="61"/>
    </row>
    <row r="745" spans="1:6" ht="15.75" hidden="1" customHeight="1" outlineLevel="2" x14ac:dyDescent="0.2">
      <c r="A745" s="63" t="s">
        <v>617</v>
      </c>
      <c r="B745" s="80"/>
      <c r="C745" s="80"/>
      <c r="D745" s="80"/>
      <c r="E745" s="82"/>
      <c r="F745" s="61"/>
    </row>
    <row r="746" spans="1:6" ht="11.25" customHeight="1" x14ac:dyDescent="0.2">
      <c r="A746" s="132" t="s">
        <v>12</v>
      </c>
      <c r="B746" s="85"/>
      <c r="C746" s="85"/>
      <c r="D746" s="85"/>
      <c r="E746" s="85"/>
      <c r="F746" s="17"/>
    </row>
    <row r="747" spans="1:6" ht="22.5" customHeight="1" x14ac:dyDescent="0.2">
      <c r="A747" s="127" t="s">
        <v>760</v>
      </c>
      <c r="B747" s="128"/>
      <c r="C747" s="128"/>
      <c r="D747" s="129"/>
      <c r="E747" s="31"/>
      <c r="F747" s="27">
        <f>F748+F783+F832</f>
        <v>0</v>
      </c>
    </row>
    <row r="748" spans="1:6" ht="22.5" customHeight="1" collapsed="1" x14ac:dyDescent="0.2">
      <c r="A748" s="89" t="s">
        <v>673</v>
      </c>
      <c r="B748" s="87"/>
      <c r="C748" s="87"/>
      <c r="D748" s="88"/>
      <c r="E748" s="38"/>
      <c r="F748" s="45">
        <f>SUM(E749:E782)</f>
        <v>0</v>
      </c>
    </row>
    <row r="749" spans="1:6" ht="22.5" hidden="1" customHeight="1" outlineLevel="1" x14ac:dyDescent="0.2">
      <c r="A749" s="62" t="s">
        <v>674</v>
      </c>
      <c r="B749" s="79">
        <v>150</v>
      </c>
      <c r="C749" s="79" t="s">
        <v>15</v>
      </c>
      <c r="D749" s="83"/>
      <c r="E749" s="81">
        <f>B749*D749</f>
        <v>0</v>
      </c>
      <c r="F749" s="61"/>
    </row>
    <row r="750" spans="1:6" ht="15.75" hidden="1" customHeight="1" outlineLevel="1" x14ac:dyDescent="0.2">
      <c r="A750" s="63" t="s">
        <v>675</v>
      </c>
      <c r="B750" s="80"/>
      <c r="C750" s="80"/>
      <c r="D750" s="80"/>
      <c r="E750" s="82"/>
      <c r="F750" s="61"/>
    </row>
    <row r="751" spans="1:6" ht="22.5" hidden="1" customHeight="1" outlineLevel="2" x14ac:dyDescent="0.2">
      <c r="A751" s="62" t="s">
        <v>676</v>
      </c>
      <c r="B751" s="79">
        <v>550</v>
      </c>
      <c r="C751" s="79" t="s">
        <v>15</v>
      </c>
      <c r="D751" s="83"/>
      <c r="E751" s="81">
        <f>B751*D751</f>
        <v>0</v>
      </c>
      <c r="F751" s="61"/>
    </row>
    <row r="752" spans="1:6" ht="15.75" hidden="1" customHeight="1" outlineLevel="2" x14ac:dyDescent="0.2">
      <c r="A752" s="63" t="s">
        <v>677</v>
      </c>
      <c r="B752" s="80"/>
      <c r="C752" s="80"/>
      <c r="D752" s="80"/>
      <c r="E752" s="82"/>
      <c r="F752" s="61"/>
    </row>
    <row r="753" spans="1:6" ht="22.5" hidden="1" customHeight="1" outlineLevel="2" x14ac:dyDescent="0.2">
      <c r="A753" s="62" t="s">
        <v>678</v>
      </c>
      <c r="B753" s="79">
        <v>1350</v>
      </c>
      <c r="C753" s="79" t="s">
        <v>15</v>
      </c>
      <c r="D753" s="83"/>
      <c r="E753" s="81">
        <f>B753*D753</f>
        <v>0</v>
      </c>
      <c r="F753" s="61"/>
    </row>
    <row r="754" spans="1:6" ht="15.75" hidden="1" customHeight="1" outlineLevel="2" x14ac:dyDescent="0.2">
      <c r="A754" s="63" t="s">
        <v>679</v>
      </c>
      <c r="B754" s="80"/>
      <c r="C754" s="80"/>
      <c r="D754" s="80"/>
      <c r="E754" s="82"/>
      <c r="F754" s="61"/>
    </row>
    <row r="755" spans="1:6" ht="22.5" hidden="1" customHeight="1" outlineLevel="2" x14ac:dyDescent="0.2">
      <c r="A755" s="62" t="s">
        <v>553</v>
      </c>
      <c r="B755" s="79">
        <v>50</v>
      </c>
      <c r="C755" s="79" t="s">
        <v>36</v>
      </c>
      <c r="D755" s="83"/>
      <c r="E755" s="81">
        <f>B755*D755</f>
        <v>0</v>
      </c>
      <c r="F755" s="61"/>
    </row>
    <row r="756" spans="1:6" ht="15.75" hidden="1" customHeight="1" outlineLevel="2" x14ac:dyDescent="0.2">
      <c r="A756" s="63" t="s">
        <v>680</v>
      </c>
      <c r="B756" s="80"/>
      <c r="C756" s="80"/>
      <c r="D756" s="80"/>
      <c r="E756" s="82"/>
      <c r="F756" s="61"/>
    </row>
    <row r="757" spans="1:6" ht="22.5" hidden="1" customHeight="1" outlineLevel="2" x14ac:dyDescent="0.2">
      <c r="A757" s="62" t="s">
        <v>681</v>
      </c>
      <c r="B757" s="79">
        <v>160</v>
      </c>
      <c r="C757" s="79" t="s">
        <v>36</v>
      </c>
      <c r="D757" s="83"/>
      <c r="E757" s="81">
        <f>B757*D757</f>
        <v>0</v>
      </c>
      <c r="F757" s="61"/>
    </row>
    <row r="758" spans="1:6" ht="15.75" hidden="1" customHeight="1" outlineLevel="2" x14ac:dyDescent="0.2">
      <c r="A758" s="63" t="s">
        <v>682</v>
      </c>
      <c r="B758" s="80"/>
      <c r="C758" s="80"/>
      <c r="D758" s="80"/>
      <c r="E758" s="82"/>
      <c r="F758" s="61"/>
    </row>
    <row r="759" spans="1:6" ht="22.5" hidden="1" customHeight="1" outlineLevel="2" x14ac:dyDescent="0.2">
      <c r="A759" s="62" t="s">
        <v>683</v>
      </c>
      <c r="B759" s="79">
        <v>3</v>
      </c>
      <c r="C759" s="79" t="s">
        <v>15</v>
      </c>
      <c r="D759" s="83"/>
      <c r="E759" s="81">
        <f>B759*D759</f>
        <v>0</v>
      </c>
      <c r="F759" s="61"/>
    </row>
    <row r="760" spans="1:6" ht="15.75" hidden="1" customHeight="1" outlineLevel="2" x14ac:dyDescent="0.2">
      <c r="A760" s="63" t="s">
        <v>558</v>
      </c>
      <c r="B760" s="80"/>
      <c r="C760" s="80"/>
      <c r="D760" s="80"/>
      <c r="E760" s="82"/>
      <c r="F760" s="61"/>
    </row>
    <row r="761" spans="1:6" ht="22.5" hidden="1" customHeight="1" outlineLevel="3" x14ac:dyDescent="0.2">
      <c r="A761" s="62" t="s">
        <v>561</v>
      </c>
      <c r="B761" s="79">
        <v>150</v>
      </c>
      <c r="C761" s="79" t="s">
        <v>15</v>
      </c>
      <c r="D761" s="83"/>
      <c r="E761" s="81">
        <f>B761*D761</f>
        <v>0</v>
      </c>
      <c r="F761" s="61"/>
    </row>
    <row r="762" spans="1:6" ht="15.75" hidden="1" customHeight="1" outlineLevel="3" x14ac:dyDescent="0.2">
      <c r="A762" s="63" t="s">
        <v>562</v>
      </c>
      <c r="B762" s="80"/>
      <c r="C762" s="80"/>
      <c r="D762" s="80"/>
      <c r="E762" s="82"/>
      <c r="F762" s="61"/>
    </row>
    <row r="763" spans="1:6" ht="22.5" hidden="1" customHeight="1" outlineLevel="3" x14ac:dyDescent="0.2">
      <c r="A763" s="62" t="s">
        <v>563</v>
      </c>
      <c r="B763" s="79">
        <v>150</v>
      </c>
      <c r="C763" s="79" t="s">
        <v>15</v>
      </c>
      <c r="D763" s="83"/>
      <c r="E763" s="81">
        <f>B763*D763</f>
        <v>0</v>
      </c>
      <c r="F763" s="61"/>
    </row>
    <row r="764" spans="1:6" ht="15.75" hidden="1" customHeight="1" outlineLevel="3" x14ac:dyDescent="0.2">
      <c r="A764" s="63" t="s">
        <v>564</v>
      </c>
      <c r="B764" s="80"/>
      <c r="C764" s="80"/>
      <c r="D764" s="80"/>
      <c r="E764" s="82"/>
      <c r="F764" s="61"/>
    </row>
    <row r="765" spans="1:6" ht="22.5" hidden="1" customHeight="1" outlineLevel="3" x14ac:dyDescent="0.2">
      <c r="A765" s="62" t="s">
        <v>565</v>
      </c>
      <c r="B765" s="79">
        <v>250</v>
      </c>
      <c r="C765" s="79" t="s">
        <v>15</v>
      </c>
      <c r="D765" s="83"/>
      <c r="E765" s="81">
        <f>B765*D765</f>
        <v>0</v>
      </c>
      <c r="F765" s="61"/>
    </row>
    <row r="766" spans="1:6" ht="15.75" hidden="1" customHeight="1" outlineLevel="3" x14ac:dyDescent="0.2">
      <c r="A766" s="63" t="s">
        <v>564</v>
      </c>
      <c r="B766" s="80"/>
      <c r="C766" s="80"/>
      <c r="D766" s="80"/>
      <c r="E766" s="82"/>
      <c r="F766" s="61"/>
    </row>
    <row r="767" spans="1:6" ht="22.5" hidden="1" customHeight="1" outlineLevel="3" x14ac:dyDescent="0.2">
      <c r="A767" s="62" t="s">
        <v>581</v>
      </c>
      <c r="B767" s="79">
        <v>28</v>
      </c>
      <c r="C767" s="79" t="s">
        <v>38</v>
      </c>
      <c r="D767" s="83"/>
      <c r="E767" s="81">
        <f>B767*D767</f>
        <v>0</v>
      </c>
      <c r="F767" s="131" t="s">
        <v>684</v>
      </c>
    </row>
    <row r="768" spans="1:6" ht="15.75" hidden="1" customHeight="1" outlineLevel="3" x14ac:dyDescent="0.2">
      <c r="A768" s="63" t="s">
        <v>685</v>
      </c>
      <c r="B768" s="80"/>
      <c r="C768" s="80"/>
      <c r="D768" s="80"/>
      <c r="E768" s="82"/>
      <c r="F768" s="78"/>
    </row>
    <row r="769" spans="1:6" ht="22.5" hidden="1" customHeight="1" outlineLevel="3" x14ac:dyDescent="0.2">
      <c r="A769" s="62" t="s">
        <v>583</v>
      </c>
      <c r="B769" s="79">
        <v>36</v>
      </c>
      <c r="C769" s="79" t="s">
        <v>38</v>
      </c>
      <c r="D769" s="83"/>
      <c r="E769" s="81">
        <f>B769*D769</f>
        <v>0</v>
      </c>
      <c r="F769" s="131" t="s">
        <v>823</v>
      </c>
    </row>
    <row r="770" spans="1:6" ht="15.75" hidden="1" customHeight="1" outlineLevel="3" x14ac:dyDescent="0.2">
      <c r="A770" s="63" t="s">
        <v>584</v>
      </c>
      <c r="B770" s="80"/>
      <c r="C770" s="80"/>
      <c r="D770" s="80"/>
      <c r="E770" s="82"/>
      <c r="F770" s="78"/>
    </row>
    <row r="771" spans="1:6" ht="22.5" hidden="1" customHeight="1" outlineLevel="3" x14ac:dyDescent="0.2">
      <c r="A771" s="62" t="s">
        <v>585</v>
      </c>
      <c r="B771" s="79">
        <v>6</v>
      </c>
      <c r="C771" s="79" t="s">
        <v>38</v>
      </c>
      <c r="D771" s="83"/>
      <c r="E771" s="81">
        <f>B771*D771</f>
        <v>0</v>
      </c>
      <c r="F771" s="109" t="s">
        <v>687</v>
      </c>
    </row>
    <row r="772" spans="1:6" ht="15.75" hidden="1" customHeight="1" outlineLevel="3" x14ac:dyDescent="0.2">
      <c r="A772" s="63" t="s">
        <v>586</v>
      </c>
      <c r="B772" s="80"/>
      <c r="C772" s="80"/>
      <c r="D772" s="80"/>
      <c r="E772" s="82"/>
      <c r="F772" s="78"/>
    </row>
    <row r="773" spans="1:6" ht="22.5" hidden="1" customHeight="1" outlineLevel="2" x14ac:dyDescent="0.2">
      <c r="A773" s="62" t="s">
        <v>589</v>
      </c>
      <c r="B773" s="79">
        <v>25</v>
      </c>
      <c r="C773" s="79" t="s">
        <v>38</v>
      </c>
      <c r="D773" s="83"/>
      <c r="E773" s="81">
        <f>B773*D773</f>
        <v>0</v>
      </c>
      <c r="F773" s="61"/>
    </row>
    <row r="774" spans="1:6" ht="15.75" hidden="1" customHeight="1" outlineLevel="2" x14ac:dyDescent="0.2">
      <c r="A774" s="63" t="s">
        <v>590</v>
      </c>
      <c r="B774" s="80"/>
      <c r="C774" s="80"/>
      <c r="D774" s="80"/>
      <c r="E774" s="82"/>
      <c r="F774" s="61"/>
    </row>
    <row r="775" spans="1:6" ht="22.5" hidden="1" customHeight="1" outlineLevel="2" x14ac:dyDescent="0.2">
      <c r="A775" s="62" t="s">
        <v>591</v>
      </c>
      <c r="B775" s="79">
        <v>150</v>
      </c>
      <c r="C775" s="79" t="s">
        <v>15</v>
      </c>
      <c r="D775" s="83"/>
      <c r="E775" s="81">
        <f>B775*D775</f>
        <v>0</v>
      </c>
      <c r="F775" s="61"/>
    </row>
    <row r="776" spans="1:6" ht="15.75" hidden="1" customHeight="1" outlineLevel="2" x14ac:dyDescent="0.2">
      <c r="A776" s="63" t="s">
        <v>592</v>
      </c>
      <c r="B776" s="80"/>
      <c r="C776" s="80"/>
      <c r="D776" s="80"/>
      <c r="E776" s="82"/>
      <c r="F776" s="61"/>
    </row>
    <row r="777" spans="1:6" ht="22.5" hidden="1" customHeight="1" outlineLevel="2" x14ac:dyDescent="0.2">
      <c r="A777" s="62" t="s">
        <v>688</v>
      </c>
      <c r="B777" s="79">
        <v>25</v>
      </c>
      <c r="C777" s="79" t="s">
        <v>38</v>
      </c>
      <c r="D777" s="83"/>
      <c r="E777" s="81">
        <f>B777*D777</f>
        <v>0</v>
      </c>
      <c r="F777" s="61"/>
    </row>
    <row r="778" spans="1:6" ht="15.75" hidden="1" customHeight="1" outlineLevel="2" x14ac:dyDescent="0.2">
      <c r="A778" s="63" t="s">
        <v>596</v>
      </c>
      <c r="B778" s="80"/>
      <c r="C778" s="80"/>
      <c r="D778" s="80"/>
      <c r="E778" s="82"/>
      <c r="F778" s="61"/>
    </row>
    <row r="779" spans="1:6" ht="22.5" hidden="1" customHeight="1" outlineLevel="2" x14ac:dyDescent="0.2">
      <c r="A779" s="62" t="s">
        <v>601</v>
      </c>
      <c r="B779" s="79">
        <v>500</v>
      </c>
      <c r="C779" s="79" t="s">
        <v>15</v>
      </c>
      <c r="D779" s="83"/>
      <c r="E779" s="81">
        <f>B779*D779</f>
        <v>0</v>
      </c>
      <c r="F779" s="61"/>
    </row>
    <row r="780" spans="1:6" ht="15.75" hidden="1" customHeight="1" outlineLevel="2" x14ac:dyDescent="0.2">
      <c r="A780" s="63" t="s">
        <v>602</v>
      </c>
      <c r="B780" s="80"/>
      <c r="C780" s="80"/>
      <c r="D780" s="80"/>
      <c r="E780" s="82"/>
      <c r="F780" s="61"/>
    </row>
    <row r="781" spans="1:6" ht="22.5" hidden="1" customHeight="1" outlineLevel="2" x14ac:dyDescent="0.2">
      <c r="A781" s="62" t="s">
        <v>689</v>
      </c>
      <c r="B781" s="79">
        <v>250</v>
      </c>
      <c r="C781" s="79" t="s">
        <v>15</v>
      </c>
      <c r="D781" s="83"/>
      <c r="E781" s="81">
        <f>B781*D781</f>
        <v>0</v>
      </c>
      <c r="F781" s="61"/>
    </row>
    <row r="782" spans="1:6" ht="15.75" hidden="1" customHeight="1" outlineLevel="2" x14ac:dyDescent="0.2">
      <c r="A782" s="63" t="s">
        <v>690</v>
      </c>
      <c r="B782" s="80"/>
      <c r="C782" s="80"/>
      <c r="D782" s="80"/>
      <c r="E782" s="82"/>
      <c r="F782" s="61"/>
    </row>
    <row r="783" spans="1:6" ht="22.5" customHeight="1" collapsed="1" x14ac:dyDescent="0.2">
      <c r="A783" s="89" t="s">
        <v>691</v>
      </c>
      <c r="B783" s="87"/>
      <c r="C783" s="87"/>
      <c r="D783" s="88"/>
      <c r="E783" s="38"/>
      <c r="F783" s="45">
        <f>SUM(E784:E831)</f>
        <v>0</v>
      </c>
    </row>
    <row r="784" spans="1:6" ht="22.5" hidden="1" customHeight="1" outlineLevel="1" x14ac:dyDescent="0.2">
      <c r="A784" s="62" t="s">
        <v>692</v>
      </c>
      <c r="B784" s="79">
        <v>500</v>
      </c>
      <c r="C784" s="79" t="s">
        <v>15</v>
      </c>
      <c r="D784" s="83"/>
      <c r="E784" s="81">
        <f>B784*D784</f>
        <v>0</v>
      </c>
      <c r="F784" s="61"/>
    </row>
    <row r="785" spans="1:6" ht="15.75" hidden="1" customHeight="1" outlineLevel="1" x14ac:dyDescent="0.2">
      <c r="A785" s="63" t="s">
        <v>693</v>
      </c>
      <c r="B785" s="80"/>
      <c r="C785" s="80"/>
      <c r="D785" s="80"/>
      <c r="E785" s="82"/>
      <c r="F785" s="61"/>
    </row>
    <row r="786" spans="1:6" ht="22.5" hidden="1" customHeight="1" outlineLevel="1" x14ac:dyDescent="0.2">
      <c r="A786" s="62" t="s">
        <v>694</v>
      </c>
      <c r="B786" s="79">
        <v>700</v>
      </c>
      <c r="C786" s="79" t="s">
        <v>15</v>
      </c>
      <c r="D786" s="83"/>
      <c r="E786" s="81">
        <f>B786*D786</f>
        <v>0</v>
      </c>
      <c r="F786" s="61"/>
    </row>
    <row r="787" spans="1:6" ht="15.75" hidden="1" customHeight="1" outlineLevel="1" x14ac:dyDescent="0.2">
      <c r="A787" s="63" t="s">
        <v>695</v>
      </c>
      <c r="B787" s="80"/>
      <c r="C787" s="80"/>
      <c r="D787" s="80"/>
      <c r="E787" s="82"/>
      <c r="F787" s="61"/>
    </row>
    <row r="788" spans="1:6" ht="22.5" hidden="1" customHeight="1" outlineLevel="1" x14ac:dyDescent="0.2">
      <c r="A788" s="62" t="s">
        <v>696</v>
      </c>
      <c r="B788" s="79">
        <v>18</v>
      </c>
      <c r="C788" s="79" t="s">
        <v>38</v>
      </c>
      <c r="D788" s="83"/>
      <c r="E788" s="81">
        <f>B788*D788</f>
        <v>0</v>
      </c>
      <c r="F788" s="131" t="s">
        <v>697</v>
      </c>
    </row>
    <row r="789" spans="1:6" ht="15.75" hidden="1" customHeight="1" outlineLevel="1" x14ac:dyDescent="0.2">
      <c r="A789" s="63" t="s">
        <v>698</v>
      </c>
      <c r="B789" s="80"/>
      <c r="C789" s="80"/>
      <c r="D789" s="80"/>
      <c r="E789" s="82"/>
      <c r="F789" s="78"/>
    </row>
    <row r="790" spans="1:6" ht="22.5" hidden="1" customHeight="1" outlineLevel="2" x14ac:dyDescent="0.2">
      <c r="A790" s="62" t="s">
        <v>699</v>
      </c>
      <c r="B790" s="79">
        <v>26</v>
      </c>
      <c r="C790" s="79" t="s">
        <v>38</v>
      </c>
      <c r="D790" s="83"/>
      <c r="E790" s="81">
        <f>B790*D790</f>
        <v>0</v>
      </c>
      <c r="F790" s="131" t="s">
        <v>824</v>
      </c>
    </row>
    <row r="791" spans="1:6" ht="15.75" hidden="1" customHeight="1" outlineLevel="2" x14ac:dyDescent="0.2">
      <c r="A791" s="63" t="s">
        <v>701</v>
      </c>
      <c r="B791" s="80"/>
      <c r="C791" s="80"/>
      <c r="D791" s="80"/>
      <c r="E791" s="82"/>
      <c r="F791" s="78"/>
    </row>
    <row r="792" spans="1:6" ht="22.5" hidden="1" customHeight="1" outlineLevel="1" x14ac:dyDescent="0.2">
      <c r="A792" s="62" t="s">
        <v>702</v>
      </c>
      <c r="B792" s="79">
        <v>6</v>
      </c>
      <c r="C792" s="79" t="s">
        <v>38</v>
      </c>
      <c r="D792" s="83">
        <f>D788*1.2</f>
        <v>0</v>
      </c>
      <c r="E792" s="81">
        <f>B792*D792</f>
        <v>0</v>
      </c>
      <c r="F792" s="61"/>
    </row>
    <row r="793" spans="1:6" ht="15.75" hidden="1" customHeight="1" outlineLevel="1" x14ac:dyDescent="0.2">
      <c r="A793" s="63" t="s">
        <v>703</v>
      </c>
      <c r="B793" s="80"/>
      <c r="C793" s="80"/>
      <c r="D793" s="80"/>
      <c r="E793" s="82"/>
      <c r="F793" s="61"/>
    </row>
    <row r="794" spans="1:6" ht="22.5" hidden="1" customHeight="1" outlineLevel="1" x14ac:dyDescent="0.2">
      <c r="A794" s="62" t="s">
        <v>704</v>
      </c>
      <c r="B794" s="79">
        <v>18</v>
      </c>
      <c r="C794" s="79" t="s">
        <v>38</v>
      </c>
      <c r="D794" s="83"/>
      <c r="E794" s="81">
        <f>B794*D794</f>
        <v>0</v>
      </c>
      <c r="F794" s="131" t="s">
        <v>705</v>
      </c>
    </row>
    <row r="795" spans="1:6" ht="15.75" hidden="1" customHeight="1" outlineLevel="1" x14ac:dyDescent="0.2">
      <c r="A795" s="63" t="s">
        <v>706</v>
      </c>
      <c r="B795" s="80"/>
      <c r="C795" s="80"/>
      <c r="D795" s="80"/>
      <c r="E795" s="82"/>
      <c r="F795" s="78"/>
    </row>
    <row r="796" spans="1:6" ht="22.5" hidden="1" customHeight="1" outlineLevel="2" x14ac:dyDescent="0.2">
      <c r="A796" s="62" t="s">
        <v>707</v>
      </c>
      <c r="B796" s="79">
        <v>26</v>
      </c>
      <c r="C796" s="79" t="s">
        <v>38</v>
      </c>
      <c r="D796" s="83"/>
      <c r="E796" s="81">
        <f>B796*D796</f>
        <v>0</v>
      </c>
      <c r="F796" s="131" t="s">
        <v>825</v>
      </c>
    </row>
    <row r="797" spans="1:6" ht="15.75" hidden="1" customHeight="1" outlineLevel="2" x14ac:dyDescent="0.2">
      <c r="A797" s="63" t="s">
        <v>709</v>
      </c>
      <c r="B797" s="80"/>
      <c r="C797" s="80"/>
      <c r="D797" s="80"/>
      <c r="E797" s="82"/>
      <c r="F797" s="78"/>
    </row>
    <row r="798" spans="1:6" ht="22.5" hidden="1" customHeight="1" outlineLevel="1" x14ac:dyDescent="0.2">
      <c r="A798" s="62" t="s">
        <v>710</v>
      </c>
      <c r="B798" s="79">
        <v>15</v>
      </c>
      <c r="C798" s="79" t="s">
        <v>38</v>
      </c>
      <c r="D798" s="83">
        <f>D794*1.2</f>
        <v>0</v>
      </c>
      <c r="E798" s="81">
        <f>B798*D798</f>
        <v>0</v>
      </c>
      <c r="F798" s="109" t="s">
        <v>711</v>
      </c>
    </row>
    <row r="799" spans="1:6" ht="15.75" hidden="1" customHeight="1" outlineLevel="1" x14ac:dyDescent="0.2">
      <c r="A799" s="63" t="s">
        <v>712</v>
      </c>
      <c r="B799" s="80"/>
      <c r="C799" s="80"/>
      <c r="D799" s="80"/>
      <c r="E799" s="82"/>
      <c r="F799" s="78"/>
    </row>
    <row r="800" spans="1:6" ht="22.5" hidden="1" customHeight="1" outlineLevel="1" x14ac:dyDescent="0.2">
      <c r="A800" s="62" t="s">
        <v>713</v>
      </c>
      <c r="B800" s="79">
        <v>1000</v>
      </c>
      <c r="C800" s="79" t="s">
        <v>15</v>
      </c>
      <c r="D800" s="83"/>
      <c r="E800" s="81">
        <f>B800*D800</f>
        <v>0</v>
      </c>
      <c r="F800" s="61"/>
    </row>
    <row r="801" spans="1:6" ht="15.75" hidden="1" customHeight="1" outlineLevel="1" x14ac:dyDescent="0.2">
      <c r="A801" s="63" t="s">
        <v>714</v>
      </c>
      <c r="B801" s="80"/>
      <c r="C801" s="80"/>
      <c r="D801" s="80"/>
      <c r="E801" s="82"/>
      <c r="F801" s="61"/>
    </row>
    <row r="802" spans="1:6" ht="22.5" hidden="1" customHeight="1" outlineLevel="1" x14ac:dyDescent="0.2">
      <c r="A802" s="62" t="s">
        <v>715</v>
      </c>
      <c r="B802" s="79">
        <v>550</v>
      </c>
      <c r="C802" s="79" t="s">
        <v>15</v>
      </c>
      <c r="D802" s="83"/>
      <c r="E802" s="81">
        <f>B802*D802</f>
        <v>0</v>
      </c>
      <c r="F802" s="61"/>
    </row>
    <row r="803" spans="1:6" ht="15.75" hidden="1" customHeight="1" outlineLevel="1" x14ac:dyDescent="0.2">
      <c r="A803" s="63" t="s">
        <v>716</v>
      </c>
      <c r="B803" s="80"/>
      <c r="C803" s="80"/>
      <c r="D803" s="80"/>
      <c r="E803" s="82"/>
      <c r="F803" s="61"/>
    </row>
    <row r="804" spans="1:6" ht="22.5" hidden="1" customHeight="1" outlineLevel="2" x14ac:dyDescent="0.2">
      <c r="A804" s="62" t="s">
        <v>717</v>
      </c>
      <c r="B804" s="79">
        <v>45</v>
      </c>
      <c r="C804" s="79" t="s">
        <v>38</v>
      </c>
      <c r="D804" s="83"/>
      <c r="E804" s="81">
        <f>B804*D804</f>
        <v>0</v>
      </c>
      <c r="F804" s="61"/>
    </row>
    <row r="805" spans="1:6" ht="15.75" hidden="1" customHeight="1" outlineLevel="2" x14ac:dyDescent="0.2">
      <c r="A805" s="63" t="s">
        <v>718</v>
      </c>
      <c r="B805" s="80"/>
      <c r="C805" s="80"/>
      <c r="D805" s="80"/>
      <c r="E805" s="82"/>
      <c r="F805" s="61"/>
    </row>
    <row r="806" spans="1:6" ht="22.5" hidden="1" customHeight="1" outlineLevel="2" x14ac:dyDescent="0.2">
      <c r="A806" s="62" t="s">
        <v>719</v>
      </c>
      <c r="B806" s="79">
        <v>100</v>
      </c>
      <c r="C806" s="79" t="s">
        <v>15</v>
      </c>
      <c r="D806" s="83"/>
      <c r="E806" s="81">
        <f>B806*D806</f>
        <v>0</v>
      </c>
      <c r="F806" s="61"/>
    </row>
    <row r="807" spans="1:6" ht="15.75" hidden="1" customHeight="1" outlineLevel="2" x14ac:dyDescent="0.2">
      <c r="A807" s="63" t="s">
        <v>720</v>
      </c>
      <c r="B807" s="80"/>
      <c r="C807" s="80"/>
      <c r="D807" s="80"/>
      <c r="E807" s="82"/>
      <c r="F807" s="61"/>
    </row>
    <row r="808" spans="1:6" ht="22.5" hidden="1" customHeight="1" outlineLevel="2" x14ac:dyDescent="0.2">
      <c r="A808" s="62" t="s">
        <v>721</v>
      </c>
      <c r="B808" s="79">
        <v>50</v>
      </c>
      <c r="C808" s="79" t="s">
        <v>15</v>
      </c>
      <c r="D808" s="83"/>
      <c r="E808" s="81">
        <f>B808*D808</f>
        <v>0</v>
      </c>
      <c r="F808" s="61"/>
    </row>
    <row r="809" spans="1:6" ht="15.75" hidden="1" customHeight="1" outlineLevel="2" x14ac:dyDescent="0.2">
      <c r="A809" s="63" t="s">
        <v>722</v>
      </c>
      <c r="B809" s="80"/>
      <c r="C809" s="80"/>
      <c r="D809" s="80"/>
      <c r="E809" s="82"/>
      <c r="F809" s="61"/>
    </row>
    <row r="810" spans="1:6" ht="22.5" hidden="1" customHeight="1" outlineLevel="2" x14ac:dyDescent="0.2">
      <c r="A810" s="62" t="s">
        <v>723</v>
      </c>
      <c r="B810" s="79">
        <v>50</v>
      </c>
      <c r="C810" s="79" t="s">
        <v>15</v>
      </c>
      <c r="D810" s="83"/>
      <c r="E810" s="81">
        <f>B810*D810</f>
        <v>0</v>
      </c>
      <c r="F810" s="61"/>
    </row>
    <row r="811" spans="1:6" ht="15.75" hidden="1" customHeight="1" outlineLevel="2" x14ac:dyDescent="0.2">
      <c r="A811" s="63" t="s">
        <v>724</v>
      </c>
      <c r="B811" s="80"/>
      <c r="C811" s="80"/>
      <c r="D811" s="80"/>
      <c r="E811" s="82"/>
      <c r="F811" s="61"/>
    </row>
    <row r="812" spans="1:6" ht="22.5" hidden="1" customHeight="1" outlineLevel="2" x14ac:dyDescent="0.2">
      <c r="A812" s="62" t="s">
        <v>725</v>
      </c>
      <c r="B812" s="79">
        <v>305</v>
      </c>
      <c r="C812" s="79" t="s">
        <v>15</v>
      </c>
      <c r="D812" s="83"/>
      <c r="E812" s="81">
        <f>B812*D812</f>
        <v>0</v>
      </c>
      <c r="F812" s="61"/>
    </row>
    <row r="813" spans="1:6" ht="15.75" hidden="1" customHeight="1" outlineLevel="2" x14ac:dyDescent="0.2">
      <c r="A813" s="63" t="s">
        <v>726</v>
      </c>
      <c r="B813" s="80"/>
      <c r="C813" s="80"/>
      <c r="D813" s="80"/>
      <c r="E813" s="82"/>
      <c r="F813" s="61"/>
    </row>
    <row r="814" spans="1:6" ht="22.5" hidden="1" customHeight="1" outlineLevel="2" x14ac:dyDescent="0.2">
      <c r="A814" s="62" t="s">
        <v>727</v>
      </c>
      <c r="B814" s="79">
        <v>510</v>
      </c>
      <c r="C814" s="79" t="s">
        <v>15</v>
      </c>
      <c r="D814" s="83"/>
      <c r="E814" s="81">
        <f>B814*D814</f>
        <v>0</v>
      </c>
      <c r="F814" s="61"/>
    </row>
    <row r="815" spans="1:6" ht="15.75" hidden="1" customHeight="1" outlineLevel="2" x14ac:dyDescent="0.2">
      <c r="A815" s="63" t="s">
        <v>728</v>
      </c>
      <c r="B815" s="80"/>
      <c r="C815" s="80"/>
      <c r="D815" s="80"/>
      <c r="E815" s="82"/>
      <c r="F815" s="61"/>
    </row>
    <row r="816" spans="1:6" ht="22.5" hidden="1" customHeight="1" outlineLevel="1" x14ac:dyDescent="0.2">
      <c r="A816" s="62" t="s">
        <v>729</v>
      </c>
      <c r="B816" s="79">
        <v>500</v>
      </c>
      <c r="C816" s="79" t="s">
        <v>15</v>
      </c>
      <c r="D816" s="83"/>
      <c r="E816" s="81">
        <f>B816*D816</f>
        <v>0</v>
      </c>
      <c r="F816" s="61"/>
    </row>
    <row r="817" spans="1:6" ht="15.75" hidden="1" customHeight="1" outlineLevel="1" x14ac:dyDescent="0.2">
      <c r="A817" s="63" t="s">
        <v>730</v>
      </c>
      <c r="B817" s="80"/>
      <c r="C817" s="80"/>
      <c r="D817" s="80"/>
      <c r="E817" s="82"/>
      <c r="F817" s="61"/>
    </row>
    <row r="818" spans="1:6" ht="22.5" hidden="1" customHeight="1" outlineLevel="2" x14ac:dyDescent="0.2">
      <c r="A818" s="62" t="s">
        <v>731</v>
      </c>
      <c r="B818" s="79">
        <v>500</v>
      </c>
      <c r="C818" s="79" t="s">
        <v>15</v>
      </c>
      <c r="D818" s="83"/>
      <c r="E818" s="81">
        <f>B818*D818</f>
        <v>0</v>
      </c>
      <c r="F818" s="61"/>
    </row>
    <row r="819" spans="1:6" ht="15.75" hidden="1" customHeight="1" outlineLevel="2" x14ac:dyDescent="0.2">
      <c r="A819" s="63" t="s">
        <v>732</v>
      </c>
      <c r="B819" s="80"/>
      <c r="C819" s="80"/>
      <c r="D819" s="80"/>
      <c r="E819" s="82"/>
      <c r="F819" s="61"/>
    </row>
    <row r="820" spans="1:6" ht="22.5" hidden="1" customHeight="1" outlineLevel="1" x14ac:dyDescent="0.2">
      <c r="A820" s="62" t="s">
        <v>733</v>
      </c>
      <c r="B820" s="79">
        <v>500</v>
      </c>
      <c r="C820" s="79" t="s">
        <v>15</v>
      </c>
      <c r="D820" s="83"/>
      <c r="E820" s="81">
        <f>B820*D820</f>
        <v>0</v>
      </c>
      <c r="F820" s="61"/>
    </row>
    <row r="821" spans="1:6" ht="15.75" hidden="1" customHeight="1" outlineLevel="1" x14ac:dyDescent="0.2">
      <c r="A821" s="63" t="s">
        <v>734</v>
      </c>
      <c r="B821" s="80"/>
      <c r="C821" s="80"/>
      <c r="D821" s="80"/>
      <c r="E821" s="82"/>
      <c r="F821" s="61"/>
    </row>
    <row r="822" spans="1:6" ht="22.5" hidden="1" customHeight="1" outlineLevel="2" x14ac:dyDescent="0.2">
      <c r="A822" s="62" t="s">
        <v>735</v>
      </c>
      <c r="B822" s="79">
        <v>350</v>
      </c>
      <c r="C822" s="79" t="s">
        <v>15</v>
      </c>
      <c r="D822" s="83"/>
      <c r="E822" s="81">
        <f>B822*D822</f>
        <v>0</v>
      </c>
      <c r="F822" s="61"/>
    </row>
    <row r="823" spans="1:6" ht="15.75" hidden="1" customHeight="1" outlineLevel="2" x14ac:dyDescent="0.2">
      <c r="A823" s="63" t="s">
        <v>736</v>
      </c>
      <c r="B823" s="80"/>
      <c r="C823" s="80"/>
      <c r="D823" s="80"/>
      <c r="E823" s="82"/>
      <c r="F823" s="61"/>
    </row>
    <row r="824" spans="1:6" ht="22.5" hidden="1" customHeight="1" outlineLevel="2" x14ac:dyDescent="0.2">
      <c r="A824" s="62" t="s">
        <v>737</v>
      </c>
      <c r="B824" s="79">
        <v>400</v>
      </c>
      <c r="C824" s="79" t="s">
        <v>15</v>
      </c>
      <c r="D824" s="83"/>
      <c r="E824" s="81">
        <f>B824*D824</f>
        <v>0</v>
      </c>
      <c r="F824" s="61"/>
    </row>
    <row r="825" spans="1:6" ht="15.75" hidden="1" customHeight="1" outlineLevel="2" x14ac:dyDescent="0.2">
      <c r="A825" s="63" t="s">
        <v>738</v>
      </c>
      <c r="B825" s="80"/>
      <c r="C825" s="80"/>
      <c r="D825" s="80"/>
      <c r="E825" s="82"/>
      <c r="F825" s="61"/>
    </row>
    <row r="826" spans="1:6" ht="22.5" hidden="1" customHeight="1" outlineLevel="2" x14ac:dyDescent="0.2">
      <c r="A826" s="62" t="s">
        <v>739</v>
      </c>
      <c r="B826" s="79">
        <v>700</v>
      </c>
      <c r="C826" s="79" t="s">
        <v>15</v>
      </c>
      <c r="D826" s="83"/>
      <c r="E826" s="81">
        <f>B826*D826</f>
        <v>0</v>
      </c>
      <c r="F826" s="61"/>
    </row>
    <row r="827" spans="1:6" ht="15.75" hidden="1" customHeight="1" outlineLevel="2" x14ac:dyDescent="0.2">
      <c r="A827" s="63" t="s">
        <v>740</v>
      </c>
      <c r="B827" s="80"/>
      <c r="C827" s="80"/>
      <c r="D827" s="80"/>
      <c r="E827" s="82"/>
      <c r="F827" s="61"/>
    </row>
    <row r="828" spans="1:6" ht="22.5" hidden="1" customHeight="1" outlineLevel="2" x14ac:dyDescent="0.2">
      <c r="A828" s="62" t="s">
        <v>741</v>
      </c>
      <c r="B828" s="79">
        <v>200</v>
      </c>
      <c r="C828" s="79" t="s">
        <v>15</v>
      </c>
      <c r="D828" s="83"/>
      <c r="E828" s="81">
        <f>B828*D828</f>
        <v>0</v>
      </c>
      <c r="F828" s="61"/>
    </row>
    <row r="829" spans="1:6" ht="15.75" hidden="1" customHeight="1" outlineLevel="2" x14ac:dyDescent="0.2">
      <c r="A829" s="63" t="s">
        <v>742</v>
      </c>
      <c r="B829" s="80"/>
      <c r="C829" s="80"/>
      <c r="D829" s="80"/>
      <c r="E829" s="82"/>
      <c r="F829" s="61"/>
    </row>
    <row r="830" spans="1:6" ht="22.5" hidden="1" customHeight="1" outlineLevel="2" x14ac:dyDescent="0.2">
      <c r="A830" s="62" t="s">
        <v>743</v>
      </c>
      <c r="B830" s="79">
        <v>400</v>
      </c>
      <c r="C830" s="79" t="s">
        <v>15</v>
      </c>
      <c r="D830" s="83"/>
      <c r="E830" s="81">
        <f>B830*D830</f>
        <v>0</v>
      </c>
      <c r="F830" s="61"/>
    </row>
    <row r="831" spans="1:6" ht="15.75" hidden="1" customHeight="1" outlineLevel="2" x14ac:dyDescent="0.2">
      <c r="A831" s="63" t="s">
        <v>744</v>
      </c>
      <c r="B831" s="80"/>
      <c r="C831" s="80"/>
      <c r="D831" s="80"/>
      <c r="E831" s="82"/>
      <c r="F831" s="61"/>
    </row>
    <row r="832" spans="1:6" ht="22.5" customHeight="1" collapsed="1" x14ac:dyDescent="0.2">
      <c r="A832" s="89" t="s">
        <v>745</v>
      </c>
      <c r="B832" s="87"/>
      <c r="C832" s="87"/>
      <c r="D832" s="88"/>
      <c r="E832" s="38"/>
      <c r="F832" s="45">
        <f>SUM(E833:E850)</f>
        <v>0</v>
      </c>
    </row>
    <row r="833" spans="1:6" ht="22.5" hidden="1" customHeight="1" outlineLevel="1" x14ac:dyDescent="0.2">
      <c r="A833" s="62" t="s">
        <v>746</v>
      </c>
      <c r="B833" s="79">
        <v>500</v>
      </c>
      <c r="C833" s="79" t="s">
        <v>15</v>
      </c>
      <c r="D833" s="83"/>
      <c r="E833" s="81">
        <f>B833*D833</f>
        <v>0</v>
      </c>
      <c r="F833" s="61"/>
    </row>
    <row r="834" spans="1:6" ht="15.75" hidden="1" customHeight="1" outlineLevel="1" x14ac:dyDescent="0.2">
      <c r="A834" s="63" t="s">
        <v>747</v>
      </c>
      <c r="B834" s="80"/>
      <c r="C834" s="80"/>
      <c r="D834" s="80"/>
      <c r="E834" s="82"/>
      <c r="F834" s="61"/>
    </row>
    <row r="835" spans="1:6" ht="22.5" hidden="1" customHeight="1" outlineLevel="2" x14ac:dyDescent="0.2">
      <c r="A835" s="62" t="s">
        <v>748</v>
      </c>
      <c r="B835" s="79">
        <v>90</v>
      </c>
      <c r="C835" s="79" t="s">
        <v>15</v>
      </c>
      <c r="D835" s="83"/>
      <c r="E835" s="81">
        <f>B835*D835</f>
        <v>0</v>
      </c>
      <c r="F835" s="61"/>
    </row>
    <row r="836" spans="1:6" ht="15.75" hidden="1" customHeight="1" outlineLevel="2" x14ac:dyDescent="0.2">
      <c r="A836" s="63" t="s">
        <v>749</v>
      </c>
      <c r="B836" s="80"/>
      <c r="C836" s="80"/>
      <c r="D836" s="80"/>
      <c r="E836" s="82"/>
      <c r="F836" s="61"/>
    </row>
    <row r="837" spans="1:6" ht="22.5" hidden="1" customHeight="1" outlineLevel="2" x14ac:dyDescent="0.2">
      <c r="A837" s="62" t="s">
        <v>750</v>
      </c>
      <c r="B837" s="79">
        <v>110</v>
      </c>
      <c r="C837" s="79" t="s">
        <v>15</v>
      </c>
      <c r="D837" s="83"/>
      <c r="E837" s="81">
        <f>B837*D837</f>
        <v>0</v>
      </c>
      <c r="F837" s="61"/>
    </row>
    <row r="838" spans="1:6" ht="15.75" hidden="1" customHeight="1" outlineLevel="2" x14ac:dyDescent="0.2">
      <c r="A838" s="63" t="s">
        <v>751</v>
      </c>
      <c r="B838" s="80"/>
      <c r="C838" s="80"/>
      <c r="D838" s="80"/>
      <c r="E838" s="82"/>
      <c r="F838" s="61"/>
    </row>
    <row r="839" spans="1:6" ht="22.5" hidden="1" customHeight="1" outlineLevel="1" x14ac:dyDescent="0.2">
      <c r="A839" s="62" t="s">
        <v>752</v>
      </c>
      <c r="B839" s="79">
        <v>80</v>
      </c>
      <c r="C839" s="79" t="s">
        <v>15</v>
      </c>
      <c r="D839" s="83"/>
      <c r="E839" s="81">
        <f>B839*D839</f>
        <v>0</v>
      </c>
      <c r="F839" s="61"/>
    </row>
    <row r="840" spans="1:6" ht="15.75" hidden="1" customHeight="1" outlineLevel="1" x14ac:dyDescent="0.2">
      <c r="A840" s="63" t="s">
        <v>753</v>
      </c>
      <c r="B840" s="80"/>
      <c r="C840" s="80"/>
      <c r="D840" s="80"/>
      <c r="E840" s="82"/>
      <c r="F840" s="61"/>
    </row>
    <row r="841" spans="1:6" ht="22.5" hidden="1" customHeight="1" outlineLevel="2" x14ac:dyDescent="0.2">
      <c r="A841" s="62" t="s">
        <v>754</v>
      </c>
      <c r="B841" s="79">
        <v>65</v>
      </c>
      <c r="C841" s="79" t="s">
        <v>15</v>
      </c>
      <c r="D841" s="83"/>
      <c r="E841" s="81">
        <f>B841*D841</f>
        <v>0</v>
      </c>
      <c r="F841" s="61"/>
    </row>
    <row r="842" spans="1:6" ht="15.75" hidden="1" customHeight="1" outlineLevel="2" x14ac:dyDescent="0.2">
      <c r="A842" s="63" t="s">
        <v>755</v>
      </c>
      <c r="B842" s="80"/>
      <c r="C842" s="80"/>
      <c r="D842" s="80"/>
      <c r="E842" s="82"/>
      <c r="F842" s="61"/>
    </row>
    <row r="843" spans="1:6" ht="22.5" hidden="1" customHeight="1" outlineLevel="1" x14ac:dyDescent="0.2">
      <c r="A843" s="62" t="s">
        <v>756</v>
      </c>
      <c r="B843" s="79">
        <v>50</v>
      </c>
      <c r="C843" s="79" t="s">
        <v>15</v>
      </c>
      <c r="D843" s="83"/>
      <c r="E843" s="81">
        <f>B843*D843</f>
        <v>0</v>
      </c>
      <c r="F843" s="61"/>
    </row>
    <row r="844" spans="1:6" ht="15.75" hidden="1" customHeight="1" outlineLevel="1" x14ac:dyDescent="0.2">
      <c r="A844" s="63" t="s">
        <v>757</v>
      </c>
      <c r="B844" s="80"/>
      <c r="C844" s="80"/>
      <c r="D844" s="80"/>
      <c r="E844" s="82"/>
      <c r="F844" s="61"/>
    </row>
    <row r="845" spans="1:6" ht="22.5" hidden="1" customHeight="1" outlineLevel="2" x14ac:dyDescent="0.2">
      <c r="A845" s="62" t="s">
        <v>758</v>
      </c>
      <c r="B845" s="79">
        <v>60</v>
      </c>
      <c r="C845" s="79" t="s">
        <v>15</v>
      </c>
      <c r="D845" s="83"/>
      <c r="E845" s="81">
        <f>B845*D845</f>
        <v>0</v>
      </c>
      <c r="F845" s="61"/>
    </row>
    <row r="846" spans="1:6" ht="15.75" hidden="1" customHeight="1" outlineLevel="2" x14ac:dyDescent="0.2">
      <c r="A846" s="63" t="s">
        <v>759</v>
      </c>
      <c r="B846" s="80"/>
      <c r="C846" s="80"/>
      <c r="D846" s="80"/>
      <c r="E846" s="82"/>
      <c r="F846" s="61"/>
    </row>
    <row r="847" spans="1:6" ht="22.5" hidden="1" customHeight="1" outlineLevel="2" x14ac:dyDescent="0.2">
      <c r="A847" s="62" t="s">
        <v>614</v>
      </c>
      <c r="B847" s="79">
        <v>100</v>
      </c>
      <c r="C847" s="79" t="s">
        <v>15</v>
      </c>
      <c r="D847" s="83"/>
      <c r="E847" s="81">
        <f>B847*D847</f>
        <v>0</v>
      </c>
      <c r="F847" s="61"/>
    </row>
    <row r="848" spans="1:6" ht="15.75" hidden="1" customHeight="1" outlineLevel="2" x14ac:dyDescent="0.2">
      <c r="A848" s="63" t="s">
        <v>615</v>
      </c>
      <c r="B848" s="80"/>
      <c r="C848" s="80"/>
      <c r="D848" s="80"/>
      <c r="E848" s="82"/>
      <c r="F848" s="61"/>
    </row>
    <row r="849" spans="1:6" ht="22.5" hidden="1" customHeight="1" outlineLevel="2" x14ac:dyDescent="0.2">
      <c r="A849" s="62" t="s">
        <v>616</v>
      </c>
      <c r="B849" s="79">
        <v>100</v>
      </c>
      <c r="C849" s="79" t="s">
        <v>15</v>
      </c>
      <c r="D849" s="83"/>
      <c r="E849" s="81">
        <f>B849*D849</f>
        <v>0</v>
      </c>
      <c r="F849" s="61"/>
    </row>
    <row r="850" spans="1:6" ht="15.75" hidden="1" customHeight="1" outlineLevel="2" x14ac:dyDescent="0.2">
      <c r="A850" s="63" t="s">
        <v>617</v>
      </c>
      <c r="B850" s="80"/>
      <c r="C850" s="80"/>
      <c r="D850" s="80"/>
      <c r="E850" s="82"/>
      <c r="F850" s="61"/>
    </row>
    <row r="851" spans="1:6" ht="11.25" customHeight="1" x14ac:dyDescent="0.2">
      <c r="A851" s="132" t="s">
        <v>12</v>
      </c>
      <c r="B851" s="85"/>
      <c r="C851" s="85"/>
      <c r="D851" s="85"/>
      <c r="E851" s="85"/>
      <c r="F851" s="17"/>
    </row>
    <row r="852" spans="1:6" ht="22.5" customHeight="1" collapsed="1" x14ac:dyDescent="0.2">
      <c r="A852" s="86" t="s">
        <v>764</v>
      </c>
      <c r="B852" s="87"/>
      <c r="C852" s="87"/>
      <c r="D852" s="88"/>
      <c r="E852" s="31"/>
      <c r="F852" s="27">
        <f>SUM(E853:E896)</f>
        <v>0</v>
      </c>
    </row>
    <row r="853" spans="1:6" ht="22.5" hidden="1" customHeight="1" outlineLevel="2" x14ac:dyDescent="0.2">
      <c r="A853" s="62" t="s">
        <v>674</v>
      </c>
      <c r="B853" s="79">
        <v>150</v>
      </c>
      <c r="C853" s="79" t="s">
        <v>15</v>
      </c>
      <c r="D853" s="83"/>
      <c r="E853" s="81">
        <f>B853*D853</f>
        <v>0</v>
      </c>
      <c r="F853" s="61"/>
    </row>
    <row r="854" spans="1:6" ht="15.75" hidden="1" customHeight="1" outlineLevel="2" x14ac:dyDescent="0.2">
      <c r="A854" s="63" t="s">
        <v>675</v>
      </c>
      <c r="B854" s="80"/>
      <c r="C854" s="80"/>
      <c r="D854" s="80"/>
      <c r="E854" s="82"/>
      <c r="F854" s="61"/>
    </row>
    <row r="855" spans="1:6" ht="22.5" hidden="1" customHeight="1" outlineLevel="2" x14ac:dyDescent="0.2">
      <c r="A855" s="62" t="s">
        <v>676</v>
      </c>
      <c r="B855" s="79">
        <v>550</v>
      </c>
      <c r="C855" s="79" t="s">
        <v>15</v>
      </c>
      <c r="D855" s="83"/>
      <c r="E855" s="81">
        <f>B855*D855</f>
        <v>0</v>
      </c>
      <c r="F855" s="61"/>
    </row>
    <row r="856" spans="1:6" ht="15.75" hidden="1" customHeight="1" outlineLevel="2" x14ac:dyDescent="0.2">
      <c r="A856" s="63" t="s">
        <v>765</v>
      </c>
      <c r="B856" s="80"/>
      <c r="C856" s="80"/>
      <c r="D856" s="80"/>
      <c r="E856" s="82"/>
      <c r="F856" s="61"/>
    </row>
    <row r="857" spans="1:6" ht="22.5" hidden="1" customHeight="1" outlineLevel="2" x14ac:dyDescent="0.2">
      <c r="A857" s="62" t="s">
        <v>553</v>
      </c>
      <c r="B857" s="79">
        <v>50</v>
      </c>
      <c r="C857" s="79" t="s">
        <v>36</v>
      </c>
      <c r="D857" s="83"/>
      <c r="E857" s="81">
        <f>B857*D857</f>
        <v>0</v>
      </c>
      <c r="F857" s="61"/>
    </row>
    <row r="858" spans="1:6" ht="15.75" hidden="1" customHeight="1" outlineLevel="2" x14ac:dyDescent="0.2">
      <c r="A858" s="63" t="s">
        <v>680</v>
      </c>
      <c r="B858" s="80"/>
      <c r="C858" s="80"/>
      <c r="D858" s="80"/>
      <c r="E858" s="82"/>
      <c r="F858" s="61"/>
    </row>
    <row r="859" spans="1:6" ht="22.5" hidden="1" customHeight="1" outlineLevel="2" x14ac:dyDescent="0.2">
      <c r="A859" s="62" t="s">
        <v>766</v>
      </c>
      <c r="B859" s="79">
        <v>160</v>
      </c>
      <c r="C859" s="79" t="s">
        <v>36</v>
      </c>
      <c r="D859" s="83"/>
      <c r="E859" s="81">
        <f>B859*D859</f>
        <v>0</v>
      </c>
      <c r="F859" s="61"/>
    </row>
    <row r="860" spans="1:6" ht="15.75" hidden="1" customHeight="1" outlineLevel="2" x14ac:dyDescent="0.2">
      <c r="A860" s="63" t="s">
        <v>682</v>
      </c>
      <c r="B860" s="80"/>
      <c r="C860" s="80"/>
      <c r="D860" s="80"/>
      <c r="E860" s="82"/>
      <c r="F860" s="61"/>
    </row>
    <row r="861" spans="1:6" ht="22.5" hidden="1" customHeight="1" outlineLevel="2" x14ac:dyDescent="0.2">
      <c r="A861" s="62" t="s">
        <v>557</v>
      </c>
      <c r="B861" s="79">
        <v>3</v>
      </c>
      <c r="C861" s="79" t="s">
        <v>15</v>
      </c>
      <c r="D861" s="83"/>
      <c r="E861" s="81">
        <f>B861*D861</f>
        <v>0</v>
      </c>
      <c r="F861" s="61"/>
    </row>
    <row r="862" spans="1:6" ht="15.75" hidden="1" customHeight="1" outlineLevel="2" x14ac:dyDescent="0.2">
      <c r="A862" s="63" t="s">
        <v>558</v>
      </c>
      <c r="B862" s="80"/>
      <c r="C862" s="80"/>
      <c r="D862" s="80"/>
      <c r="E862" s="82"/>
      <c r="F862" s="61"/>
    </row>
    <row r="863" spans="1:6" ht="22.5" hidden="1" customHeight="1" outlineLevel="3" x14ac:dyDescent="0.2">
      <c r="A863" s="62" t="s">
        <v>561</v>
      </c>
      <c r="B863" s="79">
        <v>150</v>
      </c>
      <c r="C863" s="79" t="s">
        <v>15</v>
      </c>
      <c r="D863" s="83"/>
      <c r="E863" s="81">
        <f>B863*D863</f>
        <v>0</v>
      </c>
      <c r="F863" s="61"/>
    </row>
    <row r="864" spans="1:6" ht="15.75" hidden="1" customHeight="1" outlineLevel="3" x14ac:dyDescent="0.2">
      <c r="A864" s="63" t="s">
        <v>562</v>
      </c>
      <c r="B864" s="80"/>
      <c r="C864" s="80"/>
      <c r="D864" s="80"/>
      <c r="E864" s="82"/>
      <c r="F864" s="61"/>
    </row>
    <row r="865" spans="1:6" ht="22.5" hidden="1" customHeight="1" outlineLevel="3" x14ac:dyDescent="0.2">
      <c r="A865" s="62" t="s">
        <v>563</v>
      </c>
      <c r="B865" s="79">
        <v>150</v>
      </c>
      <c r="C865" s="79" t="s">
        <v>15</v>
      </c>
      <c r="D865" s="83"/>
      <c r="E865" s="81">
        <f>B865*D865</f>
        <v>0</v>
      </c>
      <c r="F865" s="61"/>
    </row>
    <row r="866" spans="1:6" ht="15.75" hidden="1" customHeight="1" outlineLevel="3" x14ac:dyDescent="0.2">
      <c r="A866" s="63" t="s">
        <v>564</v>
      </c>
      <c r="B866" s="80"/>
      <c r="C866" s="80"/>
      <c r="D866" s="80"/>
      <c r="E866" s="82"/>
      <c r="F866" s="61"/>
    </row>
    <row r="867" spans="1:6" ht="22.5" hidden="1" customHeight="1" outlineLevel="3" x14ac:dyDescent="0.2">
      <c r="A867" s="62" t="s">
        <v>565</v>
      </c>
      <c r="B867" s="79">
        <v>250</v>
      </c>
      <c r="C867" s="79" t="s">
        <v>15</v>
      </c>
      <c r="D867" s="83"/>
      <c r="E867" s="81">
        <f>B867*D867</f>
        <v>0</v>
      </c>
      <c r="F867" s="61"/>
    </row>
    <row r="868" spans="1:6" ht="15.75" hidden="1" customHeight="1" outlineLevel="3" x14ac:dyDescent="0.2">
      <c r="A868" s="63" t="s">
        <v>564</v>
      </c>
      <c r="B868" s="80"/>
      <c r="C868" s="80"/>
      <c r="D868" s="80"/>
      <c r="E868" s="82"/>
      <c r="F868" s="61"/>
    </row>
    <row r="869" spans="1:6" ht="22.5" hidden="1" customHeight="1" outlineLevel="3" x14ac:dyDescent="0.2">
      <c r="A869" s="62" t="s">
        <v>581</v>
      </c>
      <c r="B869" s="79">
        <v>28</v>
      </c>
      <c r="C869" s="79" t="s">
        <v>38</v>
      </c>
      <c r="D869" s="83"/>
      <c r="E869" s="81">
        <f>B869*D869</f>
        <v>0</v>
      </c>
      <c r="F869" s="131" t="s">
        <v>684</v>
      </c>
    </row>
    <row r="870" spans="1:6" ht="15.75" hidden="1" customHeight="1" outlineLevel="3" x14ac:dyDescent="0.2">
      <c r="A870" s="63" t="s">
        <v>685</v>
      </c>
      <c r="B870" s="80"/>
      <c r="C870" s="80"/>
      <c r="D870" s="80"/>
      <c r="E870" s="82"/>
      <c r="F870" s="78"/>
    </row>
    <row r="871" spans="1:6" ht="22.5" hidden="1" customHeight="1" outlineLevel="3" x14ac:dyDescent="0.2">
      <c r="A871" s="62" t="s">
        <v>583</v>
      </c>
      <c r="B871" s="79">
        <v>36</v>
      </c>
      <c r="C871" s="79" t="s">
        <v>38</v>
      </c>
      <c r="D871" s="83"/>
      <c r="E871" s="81">
        <f>B871*D871</f>
        <v>0</v>
      </c>
      <c r="F871" s="131" t="s">
        <v>826</v>
      </c>
    </row>
    <row r="872" spans="1:6" ht="15.75" hidden="1" customHeight="1" outlineLevel="3" x14ac:dyDescent="0.2">
      <c r="A872" s="63" t="s">
        <v>584</v>
      </c>
      <c r="B872" s="80"/>
      <c r="C872" s="80"/>
      <c r="D872" s="80"/>
      <c r="E872" s="82"/>
      <c r="F872" s="78"/>
    </row>
    <row r="873" spans="1:6" ht="22.5" hidden="1" customHeight="1" outlineLevel="3" x14ac:dyDescent="0.2">
      <c r="A873" s="62" t="s">
        <v>585</v>
      </c>
      <c r="B873" s="79">
        <v>6</v>
      </c>
      <c r="C873" s="79" t="s">
        <v>38</v>
      </c>
      <c r="D873" s="83"/>
      <c r="E873" s="81">
        <f>B873*D873</f>
        <v>0</v>
      </c>
      <c r="F873" s="109" t="s">
        <v>687</v>
      </c>
    </row>
    <row r="874" spans="1:6" ht="15.75" hidden="1" customHeight="1" outlineLevel="3" x14ac:dyDescent="0.2">
      <c r="A874" s="63" t="s">
        <v>586</v>
      </c>
      <c r="B874" s="80"/>
      <c r="C874" s="80"/>
      <c r="D874" s="80"/>
      <c r="E874" s="82"/>
      <c r="F874" s="78"/>
    </row>
    <row r="875" spans="1:6" ht="22.5" hidden="1" customHeight="1" outlineLevel="2" x14ac:dyDescent="0.2">
      <c r="A875" s="62" t="s">
        <v>589</v>
      </c>
      <c r="B875" s="79">
        <v>25</v>
      </c>
      <c r="C875" s="79" t="s">
        <v>38</v>
      </c>
      <c r="D875" s="83"/>
      <c r="E875" s="81">
        <f>B875*D875</f>
        <v>0</v>
      </c>
      <c r="F875" s="61"/>
    </row>
    <row r="876" spans="1:6" ht="15.75" hidden="1" customHeight="1" outlineLevel="2" x14ac:dyDescent="0.2">
      <c r="A876" s="63" t="s">
        <v>590</v>
      </c>
      <c r="B876" s="80"/>
      <c r="C876" s="80"/>
      <c r="D876" s="80"/>
      <c r="E876" s="82"/>
      <c r="F876" s="61"/>
    </row>
    <row r="877" spans="1:6" ht="22.5" hidden="1" customHeight="1" outlineLevel="2" x14ac:dyDescent="0.2">
      <c r="A877" s="62" t="s">
        <v>591</v>
      </c>
      <c r="B877" s="79">
        <v>150</v>
      </c>
      <c r="C877" s="79" t="s">
        <v>15</v>
      </c>
      <c r="D877" s="83"/>
      <c r="E877" s="81">
        <f>B877*D877</f>
        <v>0</v>
      </c>
      <c r="F877" s="61"/>
    </row>
    <row r="878" spans="1:6" ht="15.75" hidden="1" customHeight="1" outlineLevel="2" x14ac:dyDescent="0.2">
      <c r="A878" s="63" t="s">
        <v>592</v>
      </c>
      <c r="B878" s="80"/>
      <c r="C878" s="80"/>
      <c r="D878" s="80"/>
      <c r="E878" s="82"/>
      <c r="F878" s="61"/>
    </row>
    <row r="879" spans="1:6" ht="22.5" hidden="1" customHeight="1" outlineLevel="2" x14ac:dyDescent="0.2">
      <c r="A879" s="62" t="s">
        <v>688</v>
      </c>
      <c r="B879" s="79">
        <v>25</v>
      </c>
      <c r="C879" s="79" t="s">
        <v>38</v>
      </c>
      <c r="D879" s="83"/>
      <c r="E879" s="81">
        <f>B879*D879</f>
        <v>0</v>
      </c>
      <c r="F879" s="61"/>
    </row>
    <row r="880" spans="1:6" ht="15.75" hidden="1" customHeight="1" outlineLevel="2" x14ac:dyDescent="0.2">
      <c r="A880" s="63" t="s">
        <v>596</v>
      </c>
      <c r="B880" s="80"/>
      <c r="C880" s="80"/>
      <c r="D880" s="80"/>
      <c r="E880" s="82"/>
      <c r="F880" s="61"/>
    </row>
    <row r="881" spans="1:6" ht="22.5" hidden="1" customHeight="1" outlineLevel="2" x14ac:dyDescent="0.2">
      <c r="A881" s="62" t="s">
        <v>601</v>
      </c>
      <c r="B881" s="79">
        <v>500</v>
      </c>
      <c r="C881" s="79" t="s">
        <v>15</v>
      </c>
      <c r="D881" s="83"/>
      <c r="E881" s="81">
        <f>B881*D881</f>
        <v>0</v>
      </c>
      <c r="F881" s="61"/>
    </row>
    <row r="882" spans="1:6" ht="15.75" hidden="1" customHeight="1" outlineLevel="2" x14ac:dyDescent="0.2">
      <c r="A882" s="63" t="s">
        <v>602</v>
      </c>
      <c r="B882" s="80"/>
      <c r="C882" s="80"/>
      <c r="D882" s="80"/>
      <c r="E882" s="82"/>
      <c r="F882" s="61"/>
    </row>
    <row r="883" spans="1:6" ht="22.5" hidden="1" customHeight="1" outlineLevel="2" x14ac:dyDescent="0.2">
      <c r="A883" s="62" t="s">
        <v>689</v>
      </c>
      <c r="B883" s="79">
        <v>250</v>
      </c>
      <c r="C883" s="79" t="s">
        <v>15</v>
      </c>
      <c r="D883" s="83"/>
      <c r="E883" s="81">
        <f>B883*D883</f>
        <v>0</v>
      </c>
      <c r="F883" s="61"/>
    </row>
    <row r="884" spans="1:6" ht="15.75" hidden="1" customHeight="1" outlineLevel="2" x14ac:dyDescent="0.2">
      <c r="A884" s="63" t="s">
        <v>690</v>
      </c>
      <c r="B884" s="80"/>
      <c r="C884" s="80"/>
      <c r="D884" s="80"/>
      <c r="E884" s="82"/>
      <c r="F884" s="61"/>
    </row>
    <row r="885" spans="1:6" ht="22.5" hidden="1" customHeight="1" outlineLevel="2" x14ac:dyDescent="0.2">
      <c r="A885" s="62" t="s">
        <v>614</v>
      </c>
      <c r="B885" s="79">
        <v>100</v>
      </c>
      <c r="C885" s="79" t="s">
        <v>15</v>
      </c>
      <c r="D885" s="83"/>
      <c r="E885" s="81">
        <f>B885*D885</f>
        <v>0</v>
      </c>
      <c r="F885" s="61"/>
    </row>
    <row r="886" spans="1:6" ht="15.75" hidden="1" customHeight="1" outlineLevel="2" x14ac:dyDescent="0.2">
      <c r="A886" s="63" t="s">
        <v>615</v>
      </c>
      <c r="B886" s="80"/>
      <c r="C886" s="80"/>
      <c r="D886" s="80"/>
      <c r="E886" s="82"/>
      <c r="F886" s="61"/>
    </row>
    <row r="887" spans="1:6" ht="22.5" hidden="1" customHeight="1" outlineLevel="2" x14ac:dyDescent="0.2">
      <c r="A887" s="62" t="s">
        <v>616</v>
      </c>
      <c r="B887" s="79">
        <v>100</v>
      </c>
      <c r="C887" s="79" t="s">
        <v>15</v>
      </c>
      <c r="D887" s="83"/>
      <c r="E887" s="81">
        <f>B887*D887</f>
        <v>0</v>
      </c>
      <c r="F887" s="61"/>
    </row>
    <row r="888" spans="1:6" ht="15.75" hidden="1" customHeight="1" outlineLevel="2" x14ac:dyDescent="0.2">
      <c r="A888" s="63" t="s">
        <v>617</v>
      </c>
      <c r="B888" s="80"/>
      <c r="C888" s="80"/>
      <c r="D888" s="80"/>
      <c r="E888" s="82"/>
      <c r="F888" s="61"/>
    </row>
    <row r="889" spans="1:6" ht="22.5" hidden="1" customHeight="1" outlineLevel="2" x14ac:dyDescent="0.2">
      <c r="A889" s="62" t="s">
        <v>618</v>
      </c>
      <c r="B889" s="79">
        <v>100</v>
      </c>
      <c r="C889" s="79" t="s">
        <v>15</v>
      </c>
      <c r="D889" s="83"/>
      <c r="E889" s="81">
        <f>B889*D889</f>
        <v>0</v>
      </c>
      <c r="F889" s="61"/>
    </row>
    <row r="890" spans="1:6" ht="15.75" hidden="1" customHeight="1" outlineLevel="2" x14ac:dyDescent="0.2">
      <c r="A890" s="63" t="s">
        <v>615</v>
      </c>
      <c r="B890" s="80"/>
      <c r="C890" s="80"/>
      <c r="D890" s="80"/>
      <c r="E890" s="82"/>
      <c r="F890" s="61"/>
    </row>
    <row r="891" spans="1:6" ht="22.5" hidden="1" customHeight="1" outlineLevel="2" x14ac:dyDescent="0.2">
      <c r="A891" s="62" t="s">
        <v>619</v>
      </c>
      <c r="B891" s="79">
        <v>300</v>
      </c>
      <c r="C891" s="79" t="s">
        <v>15</v>
      </c>
      <c r="D891" s="83"/>
      <c r="E891" s="81">
        <f>B891*D891</f>
        <v>0</v>
      </c>
      <c r="F891" s="61"/>
    </row>
    <row r="892" spans="1:6" ht="15.75" hidden="1" customHeight="1" outlineLevel="2" x14ac:dyDescent="0.2">
      <c r="A892" s="63" t="s">
        <v>620</v>
      </c>
      <c r="B892" s="80"/>
      <c r="C892" s="80"/>
      <c r="D892" s="80"/>
      <c r="E892" s="82"/>
      <c r="F892" s="61"/>
    </row>
    <row r="893" spans="1:6" ht="22.5" hidden="1" customHeight="1" outlineLevel="1" x14ac:dyDescent="0.2">
      <c r="A893" s="62" t="s">
        <v>768</v>
      </c>
      <c r="B893" s="79">
        <v>250</v>
      </c>
      <c r="C893" s="79" t="s">
        <v>15</v>
      </c>
      <c r="D893" s="83"/>
      <c r="E893" s="81">
        <f>B893*D893</f>
        <v>0</v>
      </c>
      <c r="F893" s="131" t="s">
        <v>769</v>
      </c>
    </row>
    <row r="894" spans="1:6" ht="15.75" hidden="1" customHeight="1" outlineLevel="1" x14ac:dyDescent="0.2">
      <c r="A894" s="63" t="s">
        <v>770</v>
      </c>
      <c r="B894" s="80"/>
      <c r="C894" s="80"/>
      <c r="D894" s="80"/>
      <c r="E894" s="82"/>
      <c r="F894" s="78"/>
    </row>
    <row r="895" spans="1:6" ht="22.5" hidden="1" customHeight="1" outlineLevel="1" x14ac:dyDescent="0.2">
      <c r="A895" s="62" t="s">
        <v>771</v>
      </c>
      <c r="B895" s="79">
        <v>1100</v>
      </c>
      <c r="C895" s="79" t="s">
        <v>15</v>
      </c>
      <c r="D895" s="83"/>
      <c r="E895" s="81">
        <f>B895*D895</f>
        <v>0</v>
      </c>
      <c r="F895" s="61"/>
    </row>
    <row r="896" spans="1:6" ht="15.75" hidden="1" customHeight="1" outlineLevel="1" x14ac:dyDescent="0.2">
      <c r="A896" s="63" t="s">
        <v>772</v>
      </c>
      <c r="B896" s="80"/>
      <c r="C896" s="80"/>
      <c r="D896" s="80"/>
      <c r="E896" s="82"/>
      <c r="F896" s="61"/>
    </row>
    <row r="897" spans="1:6" ht="11.25" customHeight="1" x14ac:dyDescent="0.2">
      <c r="A897" s="132" t="s">
        <v>12</v>
      </c>
      <c r="B897" s="85"/>
      <c r="C897" s="85"/>
      <c r="D897" s="85"/>
      <c r="E897" s="85"/>
      <c r="F897" s="17"/>
    </row>
    <row r="898" spans="1:6" ht="22.5" customHeight="1" x14ac:dyDescent="0.2">
      <c r="A898" s="86" t="s">
        <v>773</v>
      </c>
      <c r="B898" s="87"/>
      <c r="C898" s="87"/>
      <c r="D898" s="88"/>
      <c r="E898" s="31"/>
      <c r="F898" s="27">
        <f>F899+F918</f>
        <v>0</v>
      </c>
    </row>
    <row r="899" spans="1:6" ht="22.5" customHeight="1" collapsed="1" x14ac:dyDescent="0.2">
      <c r="A899" s="89" t="s">
        <v>552</v>
      </c>
      <c r="B899" s="87"/>
      <c r="C899" s="87"/>
      <c r="D899" s="88"/>
      <c r="E899" s="38"/>
      <c r="F899" s="45">
        <f>SUM(E900:E917)</f>
        <v>0</v>
      </c>
    </row>
    <row r="900" spans="1:6" ht="22.5" hidden="1" customHeight="1" outlineLevel="1" x14ac:dyDescent="0.2">
      <c r="A900" s="62" t="s">
        <v>553</v>
      </c>
      <c r="B900" s="79">
        <v>50</v>
      </c>
      <c r="C900" s="79" t="s">
        <v>36</v>
      </c>
      <c r="D900" s="83"/>
      <c r="E900" s="81">
        <f>B900*D900</f>
        <v>0</v>
      </c>
      <c r="F900" s="61"/>
    </row>
    <row r="901" spans="1:6" ht="15.75" hidden="1" customHeight="1" outlineLevel="1" x14ac:dyDescent="0.2">
      <c r="A901" s="63" t="s">
        <v>554</v>
      </c>
      <c r="B901" s="80"/>
      <c r="C901" s="80"/>
      <c r="D901" s="80"/>
      <c r="E901" s="82"/>
      <c r="F901" s="61"/>
    </row>
    <row r="902" spans="1:6" ht="22.5" hidden="1" customHeight="1" outlineLevel="1" x14ac:dyDescent="0.2">
      <c r="A902" s="62" t="s">
        <v>555</v>
      </c>
      <c r="B902" s="79">
        <v>160</v>
      </c>
      <c r="C902" s="79" t="s">
        <v>36</v>
      </c>
      <c r="D902" s="83"/>
      <c r="E902" s="81">
        <f>B902*D902</f>
        <v>0</v>
      </c>
      <c r="F902" s="61"/>
    </row>
    <row r="903" spans="1:6" ht="15.75" hidden="1" customHeight="1" outlineLevel="1" x14ac:dyDescent="0.2">
      <c r="A903" s="63" t="s">
        <v>827</v>
      </c>
      <c r="B903" s="80"/>
      <c r="C903" s="80"/>
      <c r="D903" s="80"/>
      <c r="E903" s="82"/>
      <c r="F903" s="61"/>
    </row>
    <row r="904" spans="1:6" ht="22.5" hidden="1" customHeight="1" outlineLevel="1" x14ac:dyDescent="0.2">
      <c r="A904" s="62" t="s">
        <v>557</v>
      </c>
      <c r="B904" s="79">
        <v>10</v>
      </c>
      <c r="C904" s="79" t="s">
        <v>15</v>
      </c>
      <c r="D904" s="83"/>
      <c r="E904" s="81">
        <f>B904*D904</f>
        <v>0</v>
      </c>
      <c r="F904" s="61"/>
    </row>
    <row r="905" spans="1:6" ht="15.75" hidden="1" customHeight="1" outlineLevel="1" x14ac:dyDescent="0.2">
      <c r="A905" s="63" t="s">
        <v>775</v>
      </c>
      <c r="B905" s="80"/>
      <c r="C905" s="80"/>
      <c r="D905" s="80"/>
      <c r="E905" s="82"/>
      <c r="F905" s="61"/>
    </row>
    <row r="906" spans="1:6" ht="22.5" hidden="1" customHeight="1" outlineLevel="1" x14ac:dyDescent="0.2">
      <c r="A906" s="62" t="s">
        <v>559</v>
      </c>
      <c r="B906" s="79">
        <v>270</v>
      </c>
      <c r="C906" s="79" t="s">
        <v>36</v>
      </c>
      <c r="D906" s="83"/>
      <c r="E906" s="81">
        <f>B906*D906</f>
        <v>0</v>
      </c>
      <c r="F906" s="61"/>
    </row>
    <row r="907" spans="1:6" ht="15.75" hidden="1" customHeight="1" outlineLevel="1" x14ac:dyDescent="0.2">
      <c r="A907" s="63" t="s">
        <v>776</v>
      </c>
      <c r="B907" s="80"/>
      <c r="C907" s="80"/>
      <c r="D907" s="80"/>
      <c r="E907" s="82"/>
      <c r="F907" s="61"/>
    </row>
    <row r="908" spans="1:6" ht="22.5" hidden="1" customHeight="1" outlineLevel="1" x14ac:dyDescent="0.2">
      <c r="A908" s="62" t="s">
        <v>561</v>
      </c>
      <c r="B908" s="79">
        <v>150</v>
      </c>
      <c r="C908" s="79" t="s">
        <v>15</v>
      </c>
      <c r="D908" s="83"/>
      <c r="E908" s="81">
        <f>B908*D908</f>
        <v>0</v>
      </c>
      <c r="F908" s="61"/>
    </row>
    <row r="909" spans="1:6" ht="15.75" hidden="1" customHeight="1" outlineLevel="1" x14ac:dyDescent="0.2">
      <c r="A909" s="63" t="s">
        <v>562</v>
      </c>
      <c r="B909" s="80"/>
      <c r="C909" s="80"/>
      <c r="D909" s="80"/>
      <c r="E909" s="82"/>
      <c r="F909" s="61"/>
    </row>
    <row r="910" spans="1:6" ht="22.5" hidden="1" customHeight="1" outlineLevel="1" x14ac:dyDescent="0.2">
      <c r="A910" s="62" t="s">
        <v>563</v>
      </c>
      <c r="B910" s="79">
        <v>150</v>
      </c>
      <c r="C910" s="79" t="s">
        <v>15</v>
      </c>
      <c r="D910" s="83"/>
      <c r="E910" s="81">
        <f>B910*D910</f>
        <v>0</v>
      </c>
      <c r="F910" s="61"/>
    </row>
    <row r="911" spans="1:6" ht="15.75" hidden="1" customHeight="1" outlineLevel="1" x14ac:dyDescent="0.2">
      <c r="A911" s="63" t="s">
        <v>564</v>
      </c>
      <c r="B911" s="80"/>
      <c r="C911" s="80"/>
      <c r="D911" s="80"/>
      <c r="E911" s="82"/>
      <c r="F911" s="61"/>
    </row>
    <row r="912" spans="1:6" ht="22.5" hidden="1" customHeight="1" outlineLevel="1" x14ac:dyDescent="0.2">
      <c r="A912" s="62" t="s">
        <v>565</v>
      </c>
      <c r="B912" s="79">
        <v>250</v>
      </c>
      <c r="C912" s="79" t="s">
        <v>15</v>
      </c>
      <c r="D912" s="83"/>
      <c r="E912" s="81">
        <f>B912*D912</f>
        <v>0</v>
      </c>
      <c r="F912" s="61"/>
    </row>
    <row r="913" spans="1:6" ht="15.75" hidden="1" customHeight="1" outlineLevel="1" x14ac:dyDescent="0.2">
      <c r="A913" s="63" t="s">
        <v>564</v>
      </c>
      <c r="B913" s="80"/>
      <c r="C913" s="80"/>
      <c r="D913" s="80"/>
      <c r="E913" s="82"/>
      <c r="F913" s="61"/>
    </row>
    <row r="914" spans="1:6" ht="22.5" hidden="1" customHeight="1" outlineLevel="1" x14ac:dyDescent="0.2">
      <c r="A914" s="62" t="s">
        <v>566</v>
      </c>
      <c r="B914" s="79">
        <v>150</v>
      </c>
      <c r="C914" s="79" t="s">
        <v>15</v>
      </c>
      <c r="D914" s="83"/>
      <c r="E914" s="81">
        <f>B914*D914</f>
        <v>0</v>
      </c>
      <c r="F914" s="61"/>
    </row>
    <row r="915" spans="1:6" ht="15.75" hidden="1" customHeight="1" outlineLevel="1" x14ac:dyDescent="0.2">
      <c r="A915" s="63" t="s">
        <v>564</v>
      </c>
      <c r="B915" s="80"/>
      <c r="C915" s="80"/>
      <c r="D915" s="80"/>
      <c r="E915" s="82"/>
      <c r="F915" s="61"/>
    </row>
    <row r="916" spans="1:6" ht="22.5" hidden="1" customHeight="1" outlineLevel="1" x14ac:dyDescent="0.2">
      <c r="A916" s="62" t="s">
        <v>567</v>
      </c>
      <c r="B916" s="79">
        <v>200</v>
      </c>
      <c r="C916" s="79" t="s">
        <v>15</v>
      </c>
      <c r="D916" s="83"/>
      <c r="E916" s="81">
        <f>B916*D916</f>
        <v>0</v>
      </c>
      <c r="F916" s="61"/>
    </row>
    <row r="917" spans="1:6" ht="15.75" hidden="1" customHeight="1" outlineLevel="1" x14ac:dyDescent="0.2">
      <c r="A917" s="63" t="s">
        <v>564</v>
      </c>
      <c r="B917" s="80"/>
      <c r="C917" s="80"/>
      <c r="D917" s="80"/>
      <c r="E917" s="82"/>
      <c r="F917" s="61"/>
    </row>
    <row r="918" spans="1:6" ht="22.5" customHeight="1" collapsed="1" x14ac:dyDescent="0.2">
      <c r="A918" s="89" t="s">
        <v>613</v>
      </c>
      <c r="B918" s="87"/>
      <c r="C918" s="87"/>
      <c r="D918" s="88"/>
      <c r="E918" s="38"/>
      <c r="F918" s="45">
        <f>SUM(E919:E934)</f>
        <v>0</v>
      </c>
    </row>
    <row r="919" spans="1:6" ht="22.5" hidden="1" customHeight="1" outlineLevel="2" x14ac:dyDescent="0.25">
      <c r="A919" s="33" t="s">
        <v>614</v>
      </c>
      <c r="B919" s="79">
        <v>100</v>
      </c>
      <c r="C919" s="79" t="s">
        <v>15</v>
      </c>
      <c r="D919" s="83"/>
      <c r="E919" s="81">
        <f>B919*D919</f>
        <v>0</v>
      </c>
      <c r="F919" s="32"/>
    </row>
    <row r="920" spans="1:6" ht="15.75" hidden="1" customHeight="1" outlineLevel="2" x14ac:dyDescent="0.2">
      <c r="A920" s="35" t="s">
        <v>615</v>
      </c>
      <c r="B920" s="80"/>
      <c r="C920" s="80"/>
      <c r="D920" s="80"/>
      <c r="E920" s="82"/>
      <c r="F920" s="32"/>
    </row>
    <row r="921" spans="1:6" ht="22.5" hidden="1" customHeight="1" outlineLevel="2" x14ac:dyDescent="0.25">
      <c r="A921" s="33" t="s">
        <v>616</v>
      </c>
      <c r="B921" s="79">
        <v>100</v>
      </c>
      <c r="C921" s="79" t="s">
        <v>15</v>
      </c>
      <c r="D921" s="83"/>
      <c r="E921" s="81">
        <f>B921*D921</f>
        <v>0</v>
      </c>
      <c r="F921" s="32"/>
    </row>
    <row r="922" spans="1:6" ht="15.75" hidden="1" customHeight="1" outlineLevel="2" x14ac:dyDescent="0.2">
      <c r="A922" s="35" t="s">
        <v>617</v>
      </c>
      <c r="B922" s="80"/>
      <c r="C922" s="80"/>
      <c r="D922" s="80"/>
      <c r="E922" s="82"/>
      <c r="F922" s="32"/>
    </row>
    <row r="923" spans="1:6" ht="22.5" hidden="1" customHeight="1" outlineLevel="2" x14ac:dyDescent="0.25">
      <c r="A923" s="33" t="s">
        <v>618</v>
      </c>
      <c r="B923" s="79">
        <v>100</v>
      </c>
      <c r="C923" s="79" t="s">
        <v>15</v>
      </c>
      <c r="D923" s="83"/>
      <c r="E923" s="81">
        <f>B923*D923</f>
        <v>0</v>
      </c>
      <c r="F923" s="32"/>
    </row>
    <row r="924" spans="1:6" ht="15.75" hidden="1" customHeight="1" outlineLevel="2" x14ac:dyDescent="0.2">
      <c r="A924" s="35" t="s">
        <v>615</v>
      </c>
      <c r="B924" s="80"/>
      <c r="C924" s="80"/>
      <c r="D924" s="80"/>
      <c r="E924" s="82"/>
      <c r="F924" s="32"/>
    </row>
    <row r="925" spans="1:6" ht="22.5" hidden="1" customHeight="1" outlineLevel="2" x14ac:dyDescent="0.25">
      <c r="A925" s="33" t="s">
        <v>619</v>
      </c>
      <c r="B925" s="79">
        <v>300</v>
      </c>
      <c r="C925" s="79" t="s">
        <v>15</v>
      </c>
      <c r="D925" s="83"/>
      <c r="E925" s="81">
        <f>B925*D925</f>
        <v>0</v>
      </c>
      <c r="F925" s="32"/>
    </row>
    <row r="926" spans="1:6" ht="15.75" hidden="1" customHeight="1" outlineLevel="2" x14ac:dyDescent="0.2">
      <c r="A926" s="35" t="s">
        <v>620</v>
      </c>
      <c r="B926" s="80"/>
      <c r="C926" s="80"/>
      <c r="D926" s="80"/>
      <c r="E926" s="82"/>
      <c r="F926" s="32"/>
    </row>
    <row r="927" spans="1:6" ht="22.5" hidden="1" customHeight="1" outlineLevel="2" x14ac:dyDescent="0.25">
      <c r="A927" s="33" t="s">
        <v>621</v>
      </c>
      <c r="B927" s="79">
        <v>100</v>
      </c>
      <c r="C927" s="79" t="s">
        <v>15</v>
      </c>
      <c r="D927" s="83"/>
      <c r="E927" s="81">
        <f>B927*D927</f>
        <v>0</v>
      </c>
      <c r="F927" s="32"/>
    </row>
    <row r="928" spans="1:6" ht="15.75" hidden="1" customHeight="1" outlineLevel="2" x14ac:dyDescent="0.2">
      <c r="A928" s="35" t="s">
        <v>622</v>
      </c>
      <c r="B928" s="80"/>
      <c r="C928" s="80"/>
      <c r="D928" s="80"/>
      <c r="E928" s="82"/>
      <c r="F928" s="32"/>
    </row>
    <row r="929" spans="1:6" ht="22.5" hidden="1" customHeight="1" outlineLevel="2" x14ac:dyDescent="0.25">
      <c r="A929" s="33" t="s">
        <v>623</v>
      </c>
      <c r="B929" s="79">
        <v>100</v>
      </c>
      <c r="C929" s="79" t="s">
        <v>15</v>
      </c>
      <c r="D929" s="83"/>
      <c r="E929" s="81">
        <f>B929*D929</f>
        <v>0</v>
      </c>
      <c r="F929" s="32"/>
    </row>
    <row r="930" spans="1:6" ht="15.75" hidden="1" customHeight="1" outlineLevel="2" x14ac:dyDescent="0.2">
      <c r="A930" s="35" t="s">
        <v>624</v>
      </c>
      <c r="B930" s="80"/>
      <c r="C930" s="80"/>
      <c r="D930" s="80"/>
      <c r="E930" s="82"/>
      <c r="F930" s="32"/>
    </row>
    <row r="931" spans="1:6" ht="22.5" hidden="1" customHeight="1" outlineLevel="1" x14ac:dyDescent="0.25">
      <c r="A931" s="33" t="s">
        <v>777</v>
      </c>
      <c r="B931" s="79">
        <v>100</v>
      </c>
      <c r="C931" s="79" t="s">
        <v>15</v>
      </c>
      <c r="D931" s="83"/>
      <c r="E931" s="81">
        <f>B931*D931</f>
        <v>0</v>
      </c>
      <c r="F931" s="32"/>
    </row>
    <row r="932" spans="1:6" ht="15.75" hidden="1" customHeight="1" outlineLevel="1" x14ac:dyDescent="0.2">
      <c r="A932" s="35" t="s">
        <v>778</v>
      </c>
      <c r="B932" s="80"/>
      <c r="C932" s="80"/>
      <c r="D932" s="80"/>
      <c r="E932" s="82"/>
      <c r="F932" s="32"/>
    </row>
    <row r="933" spans="1:6" ht="22.5" hidden="1" customHeight="1" outlineLevel="1" x14ac:dyDescent="0.25">
      <c r="A933" s="33" t="s">
        <v>779</v>
      </c>
      <c r="B933" s="79">
        <v>100</v>
      </c>
      <c r="C933" s="79" t="s">
        <v>15</v>
      </c>
      <c r="D933" s="83"/>
      <c r="E933" s="81">
        <f>B933*D933</f>
        <v>0</v>
      </c>
      <c r="F933" s="32"/>
    </row>
    <row r="934" spans="1:6" ht="15.75" hidden="1" customHeight="1" outlineLevel="1" x14ac:dyDescent="0.2">
      <c r="A934" s="35" t="s">
        <v>780</v>
      </c>
      <c r="B934" s="80"/>
      <c r="C934" s="80"/>
      <c r="D934" s="80"/>
      <c r="E934" s="82"/>
      <c r="F934" s="32"/>
    </row>
    <row r="935" spans="1:6" ht="11.25" customHeight="1" x14ac:dyDescent="0.2">
      <c r="A935" s="85"/>
      <c r="B935" s="85"/>
      <c r="C935" s="85"/>
      <c r="D935" s="85"/>
      <c r="E935" s="85"/>
      <c r="F935" s="17"/>
    </row>
    <row r="936" spans="1:6" ht="22.5" customHeight="1" collapsed="1" x14ac:dyDescent="0.2">
      <c r="A936" s="86" t="s">
        <v>781</v>
      </c>
      <c r="B936" s="87"/>
      <c r="C936" s="87"/>
      <c r="D936" s="88"/>
      <c r="E936" s="31"/>
      <c r="F936" s="27">
        <f>SUM(E937:E942,E947:E962)</f>
        <v>0</v>
      </c>
    </row>
    <row r="937" spans="1:6" ht="22.5" hidden="1" customHeight="1" outlineLevel="1" x14ac:dyDescent="0.25">
      <c r="A937" s="33" t="s">
        <v>782</v>
      </c>
      <c r="B937" s="79">
        <v>25</v>
      </c>
      <c r="C937" s="79" t="s">
        <v>38</v>
      </c>
      <c r="D937" s="83"/>
      <c r="E937" s="81">
        <f>B937*D937</f>
        <v>0</v>
      </c>
      <c r="F937" s="76" t="s">
        <v>783</v>
      </c>
    </row>
    <row r="938" spans="1:6" ht="15.75" hidden="1" customHeight="1" outlineLevel="1" x14ac:dyDescent="0.2">
      <c r="A938" s="35" t="s">
        <v>784</v>
      </c>
      <c r="B938" s="80"/>
      <c r="C938" s="80"/>
      <c r="D938" s="80"/>
      <c r="E938" s="82"/>
      <c r="F938" s="78"/>
    </row>
    <row r="939" spans="1:6" ht="22.5" hidden="1" customHeight="1" outlineLevel="1" x14ac:dyDescent="0.25">
      <c r="A939" s="33" t="s">
        <v>785</v>
      </c>
      <c r="B939" s="79">
        <v>6</v>
      </c>
      <c r="C939" s="79" t="s">
        <v>38</v>
      </c>
      <c r="D939" s="83"/>
      <c r="E939" s="81">
        <f>B939*D939</f>
        <v>0</v>
      </c>
      <c r="F939" s="32"/>
    </row>
    <row r="940" spans="1:6" ht="15.75" hidden="1" customHeight="1" outlineLevel="1" x14ac:dyDescent="0.2">
      <c r="A940" s="35" t="s">
        <v>786</v>
      </c>
      <c r="B940" s="80"/>
      <c r="C940" s="80"/>
      <c r="D940" s="80"/>
      <c r="E940" s="82"/>
      <c r="F940" s="32"/>
    </row>
    <row r="941" spans="1:6" ht="22.5" hidden="1" customHeight="1" outlineLevel="1" x14ac:dyDescent="0.25">
      <c r="A941" s="33" t="s">
        <v>787</v>
      </c>
      <c r="B941" s="79">
        <v>15</v>
      </c>
      <c r="C941" s="79" t="s">
        <v>15</v>
      </c>
      <c r="D941" s="83"/>
      <c r="E941" s="81">
        <f>B941*D941</f>
        <v>0</v>
      </c>
      <c r="F941" s="32"/>
    </row>
    <row r="942" spans="1:6" ht="15.75" hidden="1" customHeight="1" outlineLevel="1" x14ac:dyDescent="0.2">
      <c r="A942" s="35" t="s">
        <v>788</v>
      </c>
      <c r="B942" s="80"/>
      <c r="C942" s="80"/>
      <c r="D942" s="80"/>
      <c r="E942" s="82"/>
      <c r="F942" s="32"/>
    </row>
    <row r="943" spans="1:6" ht="22.5" hidden="1" customHeight="1" outlineLevel="1" x14ac:dyDescent="0.25">
      <c r="A943" s="33" t="s">
        <v>789</v>
      </c>
      <c r="B943" s="79">
        <v>18</v>
      </c>
      <c r="C943" s="79" t="s">
        <v>38</v>
      </c>
      <c r="D943" s="83"/>
      <c r="E943" s="81">
        <f>B943*D943</f>
        <v>0</v>
      </c>
      <c r="F943" s="76" t="s">
        <v>790</v>
      </c>
    </row>
    <row r="944" spans="1:6" ht="15.75" hidden="1" customHeight="1" outlineLevel="1" x14ac:dyDescent="0.2">
      <c r="A944" s="35" t="s">
        <v>791</v>
      </c>
      <c r="B944" s="80"/>
      <c r="C944" s="80"/>
      <c r="D944" s="80"/>
      <c r="E944" s="82"/>
      <c r="F944" s="78"/>
    </row>
    <row r="945" spans="1:6" ht="22.5" hidden="1" customHeight="1" outlineLevel="1" x14ac:dyDescent="0.25">
      <c r="A945" s="33" t="s">
        <v>792</v>
      </c>
      <c r="B945" s="79">
        <v>26</v>
      </c>
      <c r="C945" s="79" t="s">
        <v>38</v>
      </c>
      <c r="D945" s="83"/>
      <c r="E945" s="81">
        <f>B945*D945</f>
        <v>0</v>
      </c>
      <c r="F945" s="76" t="s">
        <v>828</v>
      </c>
    </row>
    <row r="946" spans="1:6" ht="15.75" hidden="1" customHeight="1" outlineLevel="1" x14ac:dyDescent="0.2">
      <c r="A946" s="35" t="s">
        <v>794</v>
      </c>
      <c r="B946" s="80"/>
      <c r="C946" s="80"/>
      <c r="D946" s="80"/>
      <c r="E946" s="82"/>
      <c r="F946" s="78"/>
    </row>
    <row r="947" spans="1:6" ht="22.5" hidden="1" customHeight="1" outlineLevel="1" x14ac:dyDescent="0.25">
      <c r="A947" s="33" t="s">
        <v>795</v>
      </c>
      <c r="B947" s="79">
        <v>6</v>
      </c>
      <c r="C947" s="79" t="s">
        <v>38</v>
      </c>
      <c r="D947" s="83"/>
      <c r="E947" s="81">
        <f>B947*D947</f>
        <v>0</v>
      </c>
      <c r="F947" s="32"/>
    </row>
    <row r="948" spans="1:6" ht="15.75" hidden="1" customHeight="1" outlineLevel="1" x14ac:dyDescent="0.2">
      <c r="A948" s="35" t="s">
        <v>796</v>
      </c>
      <c r="B948" s="80"/>
      <c r="C948" s="80"/>
      <c r="D948" s="80"/>
      <c r="E948" s="82"/>
      <c r="F948" s="32"/>
    </row>
    <row r="949" spans="1:6" ht="22.5" hidden="1" customHeight="1" outlineLevel="1" x14ac:dyDescent="0.25">
      <c r="A949" s="33" t="s">
        <v>797</v>
      </c>
      <c r="B949" s="79">
        <v>900</v>
      </c>
      <c r="C949" s="79" t="s">
        <v>15</v>
      </c>
      <c r="D949" s="83"/>
      <c r="E949" s="81">
        <f>B949*D949</f>
        <v>0</v>
      </c>
      <c r="F949" s="32"/>
    </row>
    <row r="950" spans="1:6" ht="15.75" hidden="1" customHeight="1" outlineLevel="1" x14ac:dyDescent="0.2">
      <c r="A950" s="35" t="s">
        <v>798</v>
      </c>
      <c r="B950" s="80"/>
      <c r="C950" s="80"/>
      <c r="D950" s="80"/>
      <c r="E950" s="82"/>
      <c r="F950" s="32"/>
    </row>
    <row r="951" spans="1:6" ht="22.5" hidden="1" customHeight="1" outlineLevel="1" x14ac:dyDescent="0.25">
      <c r="A951" s="33" t="s">
        <v>799</v>
      </c>
      <c r="B951" s="79">
        <v>500</v>
      </c>
      <c r="C951" s="79" t="s">
        <v>15</v>
      </c>
      <c r="D951" s="83"/>
      <c r="E951" s="81">
        <f>B951*D951</f>
        <v>0</v>
      </c>
      <c r="F951" s="32"/>
    </row>
    <row r="952" spans="1:6" ht="15.75" hidden="1" customHeight="1" outlineLevel="1" x14ac:dyDescent="0.2">
      <c r="A952" s="35" t="s">
        <v>800</v>
      </c>
      <c r="B952" s="80"/>
      <c r="C952" s="80"/>
      <c r="D952" s="80"/>
      <c r="E952" s="82"/>
      <c r="F952" s="32"/>
    </row>
    <row r="953" spans="1:6" ht="22.5" hidden="1" customHeight="1" outlineLevel="1" x14ac:dyDescent="0.25">
      <c r="A953" s="33" t="s">
        <v>801</v>
      </c>
      <c r="B953" s="79">
        <v>500</v>
      </c>
      <c r="C953" s="79" t="s">
        <v>15</v>
      </c>
      <c r="D953" s="83"/>
      <c r="E953" s="81">
        <f>B953*D953</f>
        <v>0</v>
      </c>
      <c r="F953" s="32"/>
    </row>
    <row r="954" spans="1:6" ht="15.75" hidden="1" customHeight="1" outlineLevel="1" x14ac:dyDescent="0.2">
      <c r="A954" s="35" t="s">
        <v>802</v>
      </c>
      <c r="B954" s="80"/>
      <c r="C954" s="80"/>
      <c r="D954" s="80"/>
      <c r="E954" s="82"/>
      <c r="F954" s="32"/>
    </row>
    <row r="955" spans="1:6" ht="22.5" hidden="1" customHeight="1" outlineLevel="2" x14ac:dyDescent="0.25">
      <c r="A955" s="33" t="s">
        <v>553</v>
      </c>
      <c r="B955" s="79">
        <v>50</v>
      </c>
      <c r="C955" s="79" t="s">
        <v>15</v>
      </c>
      <c r="D955" s="83"/>
      <c r="E955" s="81">
        <f>B955*D955</f>
        <v>0</v>
      </c>
      <c r="F955" s="32"/>
    </row>
    <row r="956" spans="1:6" ht="15.75" hidden="1" customHeight="1" outlineLevel="2" x14ac:dyDescent="0.2">
      <c r="A956" s="35" t="s">
        <v>554</v>
      </c>
      <c r="B956" s="80"/>
      <c r="C956" s="80"/>
      <c r="D956" s="80"/>
      <c r="E956" s="82"/>
      <c r="F956" s="32"/>
    </row>
    <row r="957" spans="1:6" ht="22.5" hidden="1" customHeight="1" outlineLevel="2" x14ac:dyDescent="0.25">
      <c r="A957" s="33" t="s">
        <v>555</v>
      </c>
      <c r="B957" s="79">
        <v>160</v>
      </c>
      <c r="C957" s="79" t="s">
        <v>36</v>
      </c>
      <c r="D957" s="83"/>
      <c r="E957" s="81">
        <f>B957*D957</f>
        <v>0</v>
      </c>
      <c r="F957" s="32"/>
    </row>
    <row r="958" spans="1:6" ht="15.75" hidden="1" customHeight="1" outlineLevel="2" x14ac:dyDescent="0.2">
      <c r="A958" s="35" t="s">
        <v>803</v>
      </c>
      <c r="B958" s="80"/>
      <c r="C958" s="80"/>
      <c r="D958" s="80"/>
      <c r="E958" s="82"/>
      <c r="F958" s="32"/>
    </row>
    <row r="959" spans="1:6" ht="22.5" hidden="1" customHeight="1" outlineLevel="2" x14ac:dyDescent="0.25">
      <c r="A959" s="33" t="s">
        <v>557</v>
      </c>
      <c r="B959" s="79">
        <v>10</v>
      </c>
      <c r="C959" s="79" t="s">
        <v>15</v>
      </c>
      <c r="D959" s="83"/>
      <c r="E959" s="81">
        <f>B959*D959</f>
        <v>0</v>
      </c>
      <c r="F959" s="32"/>
    </row>
    <row r="960" spans="1:6" ht="15.75" hidden="1" customHeight="1" outlineLevel="2" x14ac:dyDescent="0.2">
      <c r="A960" s="35" t="s">
        <v>775</v>
      </c>
      <c r="B960" s="80"/>
      <c r="C960" s="80"/>
      <c r="D960" s="80"/>
      <c r="E960" s="82"/>
      <c r="F960" s="32"/>
    </row>
    <row r="961" spans="1:6" ht="22.5" hidden="1" customHeight="1" outlineLevel="2" x14ac:dyDescent="0.25">
      <c r="A961" s="33" t="s">
        <v>561</v>
      </c>
      <c r="B961" s="79">
        <v>150</v>
      </c>
      <c r="C961" s="79" t="s">
        <v>15</v>
      </c>
      <c r="D961" s="83"/>
      <c r="E961" s="81">
        <f>B961*D961</f>
        <v>0</v>
      </c>
      <c r="F961" s="32"/>
    </row>
    <row r="962" spans="1:6" ht="15.75" hidden="1" customHeight="1" outlineLevel="2" x14ac:dyDescent="0.2">
      <c r="A962" s="35" t="s">
        <v>562</v>
      </c>
      <c r="B962" s="80"/>
      <c r="C962" s="80"/>
      <c r="D962" s="80"/>
      <c r="E962" s="82"/>
      <c r="F962" s="32"/>
    </row>
    <row r="963" spans="1:6" ht="22.5" hidden="1" customHeight="1" outlineLevel="2" x14ac:dyDescent="0.25">
      <c r="A963" s="33" t="s">
        <v>563</v>
      </c>
      <c r="B963" s="79">
        <v>150</v>
      </c>
      <c r="C963" s="79" t="s">
        <v>15</v>
      </c>
      <c r="D963" s="83"/>
      <c r="E963" s="81">
        <f>B963*D963</f>
        <v>0</v>
      </c>
      <c r="F963" s="32"/>
    </row>
    <row r="964" spans="1:6" ht="15.75" hidden="1" customHeight="1" outlineLevel="2" x14ac:dyDescent="0.2">
      <c r="A964" s="35" t="s">
        <v>564</v>
      </c>
      <c r="B964" s="80"/>
      <c r="C964" s="80"/>
      <c r="D964" s="80"/>
      <c r="E964" s="82"/>
      <c r="F964" s="32"/>
    </row>
    <row r="965" spans="1:6" ht="22.5" hidden="1" customHeight="1" outlineLevel="2" x14ac:dyDescent="0.25">
      <c r="A965" s="33" t="s">
        <v>565</v>
      </c>
      <c r="B965" s="79">
        <v>250</v>
      </c>
      <c r="C965" s="79" t="s">
        <v>15</v>
      </c>
      <c r="D965" s="83"/>
      <c r="E965" s="81">
        <f>B965*D965</f>
        <v>0</v>
      </c>
      <c r="F965" s="32"/>
    </row>
    <row r="966" spans="1:6" ht="15.75" hidden="1" customHeight="1" outlineLevel="2" x14ac:dyDescent="0.2">
      <c r="A966" s="35" t="s">
        <v>564</v>
      </c>
      <c r="B966" s="80"/>
      <c r="C966" s="80"/>
      <c r="D966" s="80"/>
      <c r="E966" s="82"/>
      <c r="F966" s="32"/>
    </row>
    <row r="967" spans="1:6" ht="22.5" hidden="1" customHeight="1" outlineLevel="2" x14ac:dyDescent="0.25">
      <c r="A967" s="33" t="s">
        <v>566</v>
      </c>
      <c r="B967" s="79">
        <v>150</v>
      </c>
      <c r="C967" s="79" t="s">
        <v>15</v>
      </c>
      <c r="D967" s="83"/>
      <c r="E967" s="81">
        <f>B967*D967</f>
        <v>0</v>
      </c>
      <c r="F967" s="32"/>
    </row>
    <row r="968" spans="1:6" ht="15.75" hidden="1" customHeight="1" outlineLevel="2" x14ac:dyDescent="0.2">
      <c r="A968" s="35" t="s">
        <v>564</v>
      </c>
      <c r="B968" s="80"/>
      <c r="C968" s="80"/>
      <c r="D968" s="80"/>
      <c r="E968" s="82"/>
      <c r="F968" s="32"/>
    </row>
    <row r="969" spans="1:6" ht="22.5" hidden="1" customHeight="1" outlineLevel="2" x14ac:dyDescent="0.25">
      <c r="A969" s="33" t="s">
        <v>567</v>
      </c>
      <c r="B969" s="79">
        <v>200</v>
      </c>
      <c r="C969" s="79" t="s">
        <v>15</v>
      </c>
      <c r="D969" s="83"/>
      <c r="E969" s="81">
        <f>B969*D969</f>
        <v>0</v>
      </c>
      <c r="F969" s="32"/>
    </row>
    <row r="970" spans="1:6" ht="15.75" hidden="1" customHeight="1" outlineLevel="2" x14ac:dyDescent="0.2">
      <c r="A970" s="35" t="s">
        <v>564</v>
      </c>
      <c r="B970" s="80"/>
      <c r="C970" s="80"/>
      <c r="D970" s="80"/>
      <c r="E970" s="82"/>
      <c r="F970" s="32"/>
    </row>
    <row r="971" spans="1:6" ht="22.5" hidden="1" customHeight="1" outlineLevel="2" x14ac:dyDescent="0.25">
      <c r="A971" s="33" t="s">
        <v>594</v>
      </c>
      <c r="B971" s="79">
        <v>25</v>
      </c>
      <c r="C971" s="79" t="s">
        <v>38</v>
      </c>
      <c r="D971" s="83"/>
      <c r="E971" s="81">
        <f>B971*D971</f>
        <v>0</v>
      </c>
      <c r="F971" s="32"/>
    </row>
    <row r="972" spans="1:6" ht="15.75" hidden="1" customHeight="1" outlineLevel="2" x14ac:dyDescent="0.2">
      <c r="A972" s="35" t="s">
        <v>804</v>
      </c>
      <c r="B972" s="80"/>
      <c r="C972" s="80"/>
      <c r="D972" s="80"/>
      <c r="E972" s="82"/>
      <c r="F972" s="32"/>
    </row>
    <row r="973" spans="1:6" ht="22.5" hidden="1" customHeight="1" outlineLevel="2" x14ac:dyDescent="0.25">
      <c r="A973" s="33" t="s">
        <v>805</v>
      </c>
      <c r="B973" s="79">
        <v>500</v>
      </c>
      <c r="C973" s="79" t="s">
        <v>15</v>
      </c>
      <c r="D973" s="83"/>
      <c r="E973" s="81">
        <f>B973*D973</f>
        <v>0</v>
      </c>
      <c r="F973" s="32"/>
    </row>
    <row r="974" spans="1:6" ht="15.75" hidden="1" customHeight="1" outlineLevel="2" x14ac:dyDescent="0.2">
      <c r="A974" s="35" t="s">
        <v>829</v>
      </c>
      <c r="B974" s="80"/>
      <c r="C974" s="80"/>
      <c r="D974" s="80"/>
      <c r="E974" s="82"/>
      <c r="F974" s="32"/>
    </row>
    <row r="975" spans="1:6" ht="22.5" hidden="1" customHeight="1" outlineLevel="2" x14ac:dyDescent="0.25">
      <c r="A975" s="33" t="s">
        <v>614</v>
      </c>
      <c r="B975" s="79">
        <v>100</v>
      </c>
      <c r="C975" s="79" t="s">
        <v>15</v>
      </c>
      <c r="D975" s="83"/>
      <c r="E975" s="81">
        <f>B975*D975</f>
        <v>0</v>
      </c>
      <c r="F975" s="32"/>
    </row>
    <row r="976" spans="1:6" ht="15.75" hidden="1" customHeight="1" outlineLevel="2" x14ac:dyDescent="0.2">
      <c r="A976" s="35" t="s">
        <v>615</v>
      </c>
      <c r="B976" s="80"/>
      <c r="C976" s="80"/>
      <c r="D976" s="80"/>
      <c r="E976" s="82"/>
      <c r="F976" s="32"/>
    </row>
    <row r="977" spans="1:6" ht="22.5" hidden="1" customHeight="1" outlineLevel="2" x14ac:dyDescent="0.25">
      <c r="A977" s="33" t="s">
        <v>616</v>
      </c>
      <c r="B977" s="79">
        <v>100</v>
      </c>
      <c r="C977" s="79" t="s">
        <v>15</v>
      </c>
      <c r="D977" s="83"/>
      <c r="E977" s="81">
        <f>B977*D977</f>
        <v>0</v>
      </c>
      <c r="F977" s="32"/>
    </row>
    <row r="978" spans="1:6" ht="15.75" hidden="1" customHeight="1" outlineLevel="2" x14ac:dyDescent="0.2">
      <c r="A978" s="35" t="s">
        <v>617</v>
      </c>
      <c r="B978" s="80"/>
      <c r="C978" s="80"/>
      <c r="D978" s="80"/>
      <c r="E978" s="82"/>
      <c r="F978" s="32"/>
    </row>
    <row r="979" spans="1:6" ht="22.5" hidden="1" customHeight="1" outlineLevel="2" x14ac:dyDescent="0.25">
      <c r="A979" s="33" t="s">
        <v>618</v>
      </c>
      <c r="B979" s="79">
        <v>100</v>
      </c>
      <c r="C979" s="79" t="s">
        <v>15</v>
      </c>
      <c r="D979" s="83"/>
      <c r="E979" s="81">
        <f>B979*D979</f>
        <v>0</v>
      </c>
      <c r="F979" s="32"/>
    </row>
    <row r="980" spans="1:6" ht="15.75" hidden="1" customHeight="1" outlineLevel="2" x14ac:dyDescent="0.2">
      <c r="A980" s="35" t="s">
        <v>615</v>
      </c>
      <c r="B980" s="80"/>
      <c r="C980" s="80"/>
      <c r="D980" s="80"/>
      <c r="E980" s="82"/>
      <c r="F980" s="32"/>
    </row>
    <row r="981" spans="1:6" ht="22.5" hidden="1" customHeight="1" outlineLevel="2" x14ac:dyDescent="0.25">
      <c r="A981" s="33" t="s">
        <v>619</v>
      </c>
      <c r="B981" s="79">
        <v>300</v>
      </c>
      <c r="C981" s="79" t="s">
        <v>15</v>
      </c>
      <c r="D981" s="83"/>
      <c r="E981" s="81">
        <f>B981*D981</f>
        <v>0</v>
      </c>
      <c r="F981" s="32"/>
    </row>
    <row r="982" spans="1:6" ht="15.75" hidden="1" customHeight="1" outlineLevel="2" x14ac:dyDescent="0.2">
      <c r="A982" s="35" t="s">
        <v>620</v>
      </c>
      <c r="B982" s="80"/>
      <c r="C982" s="80"/>
      <c r="D982" s="80"/>
      <c r="E982" s="82"/>
      <c r="F982" s="32"/>
    </row>
    <row r="983" spans="1:6" ht="11.25" customHeight="1" x14ac:dyDescent="0.2">
      <c r="A983" s="84" t="s">
        <v>12</v>
      </c>
      <c r="B983" s="85"/>
      <c r="C983" s="85"/>
      <c r="D983" s="85"/>
      <c r="E983" s="85"/>
      <c r="F983" s="17"/>
    </row>
    <row r="984" spans="1:6" ht="30.75" customHeight="1" x14ac:dyDescent="0.25">
      <c r="A984" s="47" t="s">
        <v>807</v>
      </c>
      <c r="B984" s="122">
        <f>$D$2</f>
        <v>0</v>
      </c>
      <c r="C984" s="120"/>
      <c r="D984" s="120"/>
      <c r="E984" s="120"/>
      <c r="F984" s="48" t="s">
        <v>4</v>
      </c>
    </row>
    <row r="985" spans="1:6" ht="30" customHeight="1" outlineLevel="1" x14ac:dyDescent="0.25">
      <c r="A985" s="47" t="s">
        <v>808</v>
      </c>
      <c r="B985" s="123">
        <v>0</v>
      </c>
      <c r="C985" s="120"/>
      <c r="D985" s="122">
        <f>B984*B985</f>
        <v>0</v>
      </c>
      <c r="E985" s="120"/>
      <c r="F985" s="49">
        <f>D2/B2</f>
        <v>0</v>
      </c>
    </row>
    <row r="986" spans="1:6" ht="31.5" customHeight="1" outlineLevel="1" x14ac:dyDescent="0.25">
      <c r="A986" s="50" t="s">
        <v>809</v>
      </c>
      <c r="B986" s="124">
        <f>$B$984-($B$984*B985)</f>
        <v>0</v>
      </c>
      <c r="C986" s="125"/>
      <c r="D986" s="125"/>
      <c r="E986" s="125"/>
      <c r="F986" s="51"/>
    </row>
    <row r="987" spans="1:6" ht="30" customHeight="1" x14ac:dyDescent="0.2">
      <c r="A987" s="126" t="s">
        <v>12</v>
      </c>
      <c r="B987" s="85"/>
      <c r="C987" s="85"/>
      <c r="D987" s="85"/>
      <c r="E987" s="85"/>
      <c r="F987" s="85"/>
    </row>
    <row r="988" spans="1:6" ht="30" customHeight="1" x14ac:dyDescent="0.2">
      <c r="A988" s="126" t="s">
        <v>12</v>
      </c>
      <c r="B988" s="85"/>
      <c r="C988" s="85"/>
      <c r="D988" s="85"/>
      <c r="E988" s="85"/>
      <c r="F988" s="85"/>
    </row>
    <row r="989" spans="1:6" ht="22.5" customHeight="1" collapsed="1" x14ac:dyDescent="0.2">
      <c r="A989" s="86" t="s">
        <v>199</v>
      </c>
      <c r="B989" s="87"/>
      <c r="C989" s="87"/>
      <c r="D989" s="88"/>
      <c r="E989" s="31"/>
      <c r="F989" s="27">
        <f>SUM(E990:E1009)</f>
        <v>0</v>
      </c>
    </row>
    <row r="990" spans="1:6" ht="22.5" hidden="1" customHeight="1" outlineLevel="1" x14ac:dyDescent="0.25">
      <c r="A990" s="33" t="s">
        <v>200</v>
      </c>
      <c r="B990" s="79">
        <v>25</v>
      </c>
      <c r="C990" s="79" t="s">
        <v>36</v>
      </c>
      <c r="D990" s="83"/>
      <c r="E990" s="81">
        <f>B990*D990</f>
        <v>0</v>
      </c>
      <c r="F990" s="91" t="s">
        <v>830</v>
      </c>
    </row>
    <row r="991" spans="1:6" ht="15.75" hidden="1" customHeight="1" outlineLevel="1" x14ac:dyDescent="0.2">
      <c r="A991" s="35" t="s">
        <v>811</v>
      </c>
      <c r="B991" s="80"/>
      <c r="C991" s="80"/>
      <c r="D991" s="80"/>
      <c r="E991" s="82"/>
      <c r="F991" s="78"/>
    </row>
    <row r="992" spans="1:6" ht="22.5" hidden="1" customHeight="1" outlineLevel="1" x14ac:dyDescent="0.25">
      <c r="A992" s="33" t="s">
        <v>203</v>
      </c>
      <c r="B992" s="79">
        <v>15</v>
      </c>
      <c r="C992" s="79" t="s">
        <v>36</v>
      </c>
      <c r="D992" s="83"/>
      <c r="E992" s="81">
        <f>B992*D992</f>
        <v>0</v>
      </c>
      <c r="F992" s="24"/>
    </row>
    <row r="993" spans="1:6" ht="15.75" hidden="1" customHeight="1" outlineLevel="1" x14ac:dyDescent="0.2">
      <c r="A993" s="35" t="s">
        <v>811</v>
      </c>
      <c r="B993" s="80"/>
      <c r="C993" s="80"/>
      <c r="D993" s="80"/>
      <c r="E993" s="82"/>
      <c r="F993" s="24"/>
    </row>
    <row r="994" spans="1:6" ht="22.5" hidden="1" customHeight="1" outlineLevel="2" x14ac:dyDescent="0.25">
      <c r="A994" s="33" t="s">
        <v>204</v>
      </c>
      <c r="B994" s="79">
        <v>1500</v>
      </c>
      <c r="C994" s="79" t="s">
        <v>15</v>
      </c>
      <c r="D994" s="83"/>
      <c r="E994" s="81">
        <f>B994*D994</f>
        <v>0</v>
      </c>
      <c r="F994" s="32"/>
    </row>
    <row r="995" spans="1:6" ht="15.75" hidden="1" customHeight="1" outlineLevel="2" x14ac:dyDescent="0.2">
      <c r="A995" s="35" t="s">
        <v>205</v>
      </c>
      <c r="B995" s="80"/>
      <c r="C995" s="80"/>
      <c r="D995" s="80"/>
      <c r="E995" s="82"/>
      <c r="F995" s="32"/>
    </row>
    <row r="996" spans="1:6" ht="22.5" hidden="1" customHeight="1" outlineLevel="2" x14ac:dyDescent="0.25">
      <c r="A996" s="33" t="s">
        <v>206</v>
      </c>
      <c r="B996" s="79">
        <v>3500</v>
      </c>
      <c r="C996" s="79" t="s">
        <v>15</v>
      </c>
      <c r="D996" s="83"/>
      <c r="E996" s="81">
        <f>B996*D996</f>
        <v>0</v>
      </c>
      <c r="F996" s="32"/>
    </row>
    <row r="997" spans="1:6" ht="15.75" hidden="1" customHeight="1" outlineLevel="2" x14ac:dyDescent="0.2">
      <c r="A997" s="35" t="s">
        <v>207</v>
      </c>
      <c r="B997" s="80"/>
      <c r="C997" s="80"/>
      <c r="D997" s="80"/>
      <c r="E997" s="82"/>
      <c r="F997" s="32"/>
    </row>
    <row r="998" spans="1:6" ht="22.5" hidden="1" customHeight="1" outlineLevel="1" x14ac:dyDescent="0.25">
      <c r="A998" s="33" t="s">
        <v>208</v>
      </c>
      <c r="B998" s="79">
        <v>1500</v>
      </c>
      <c r="C998" s="79" t="s">
        <v>15</v>
      </c>
      <c r="D998" s="83"/>
      <c r="E998" s="81">
        <f>B998*D998</f>
        <v>0</v>
      </c>
      <c r="F998" s="32"/>
    </row>
    <row r="999" spans="1:6" ht="15.75" hidden="1" customHeight="1" outlineLevel="1" x14ac:dyDescent="0.2">
      <c r="A999" s="35" t="s">
        <v>209</v>
      </c>
      <c r="B999" s="80"/>
      <c r="C999" s="80"/>
      <c r="D999" s="80"/>
      <c r="E999" s="82"/>
      <c r="F999" s="32"/>
    </row>
    <row r="1000" spans="1:6" ht="22.5" hidden="1" customHeight="1" outlineLevel="1" x14ac:dyDescent="0.25">
      <c r="A1000" s="33" t="s">
        <v>210</v>
      </c>
      <c r="B1000" s="79">
        <v>3500</v>
      </c>
      <c r="C1000" s="79" t="s">
        <v>15</v>
      </c>
      <c r="D1000" s="83"/>
      <c r="E1000" s="81">
        <f>B1000*D1000</f>
        <v>0</v>
      </c>
      <c r="F1000" s="32"/>
    </row>
    <row r="1001" spans="1:6" ht="15.75" hidden="1" customHeight="1" outlineLevel="1" x14ac:dyDescent="0.2">
      <c r="A1001" s="35" t="s">
        <v>211</v>
      </c>
      <c r="B1001" s="80"/>
      <c r="C1001" s="80"/>
      <c r="D1001" s="80"/>
      <c r="E1001" s="82"/>
      <c r="F1001" s="32"/>
    </row>
    <row r="1002" spans="1:6" ht="22.5" hidden="1" customHeight="1" outlineLevel="1" x14ac:dyDescent="0.25">
      <c r="A1002" s="33" t="s">
        <v>212</v>
      </c>
      <c r="B1002" s="79">
        <v>1500</v>
      </c>
      <c r="C1002" s="79" t="s">
        <v>15</v>
      </c>
      <c r="D1002" s="83"/>
      <c r="E1002" s="81">
        <f>B1002*D1002</f>
        <v>0</v>
      </c>
      <c r="F1002" s="32"/>
    </row>
    <row r="1003" spans="1:6" ht="15.75" hidden="1" customHeight="1" outlineLevel="1" x14ac:dyDescent="0.2">
      <c r="A1003" s="35" t="s">
        <v>213</v>
      </c>
      <c r="B1003" s="80"/>
      <c r="C1003" s="80"/>
      <c r="D1003" s="80"/>
      <c r="E1003" s="82"/>
      <c r="F1003" s="32"/>
    </row>
    <row r="1004" spans="1:6" ht="22.5" hidden="1" customHeight="1" outlineLevel="1" x14ac:dyDescent="0.25">
      <c r="A1004" s="33" t="s">
        <v>214</v>
      </c>
      <c r="B1004" s="79">
        <v>3500</v>
      </c>
      <c r="C1004" s="79" t="s">
        <v>15</v>
      </c>
      <c r="D1004" s="83"/>
      <c r="E1004" s="81">
        <f>B1004*D1004</f>
        <v>0</v>
      </c>
      <c r="F1004" s="32"/>
    </row>
    <row r="1005" spans="1:6" ht="15.75" hidden="1" customHeight="1" outlineLevel="1" x14ac:dyDescent="0.2">
      <c r="A1005" s="35" t="s">
        <v>215</v>
      </c>
      <c r="B1005" s="80"/>
      <c r="C1005" s="80"/>
      <c r="D1005" s="80"/>
      <c r="E1005" s="82"/>
      <c r="F1005" s="32"/>
    </row>
    <row r="1006" spans="1:6" ht="22.5" hidden="1" customHeight="1" outlineLevel="1" x14ac:dyDescent="0.25">
      <c r="A1006" s="33" t="s">
        <v>216</v>
      </c>
      <c r="B1006" s="79">
        <v>1500</v>
      </c>
      <c r="C1006" s="79" t="s">
        <v>15</v>
      </c>
      <c r="D1006" s="83"/>
      <c r="E1006" s="81">
        <f>B1006*D1006</f>
        <v>0</v>
      </c>
      <c r="F1006" s="32"/>
    </row>
    <row r="1007" spans="1:6" ht="15.75" hidden="1" customHeight="1" outlineLevel="1" x14ac:dyDescent="0.2">
      <c r="A1007" s="35" t="s">
        <v>217</v>
      </c>
      <c r="B1007" s="80"/>
      <c r="C1007" s="80"/>
      <c r="D1007" s="80"/>
      <c r="E1007" s="82"/>
      <c r="F1007" s="32"/>
    </row>
    <row r="1008" spans="1:6" ht="22.5" hidden="1" customHeight="1" outlineLevel="1" x14ac:dyDescent="0.25">
      <c r="A1008" s="33" t="s">
        <v>218</v>
      </c>
      <c r="B1008" s="79">
        <v>3500</v>
      </c>
      <c r="C1008" s="79" t="s">
        <v>15</v>
      </c>
      <c r="D1008" s="83"/>
      <c r="E1008" s="81">
        <f>B1008*D1008</f>
        <v>0</v>
      </c>
      <c r="F1008" s="32"/>
    </row>
    <row r="1009" spans="1:6" ht="15.75" hidden="1" customHeight="1" outlineLevel="1" x14ac:dyDescent="0.2">
      <c r="A1009" s="35" t="s">
        <v>219</v>
      </c>
      <c r="B1009" s="80"/>
      <c r="C1009" s="80"/>
      <c r="D1009" s="80"/>
      <c r="E1009" s="82"/>
      <c r="F1009" s="32"/>
    </row>
    <row r="1010" spans="1:6" ht="11.25" customHeight="1" x14ac:dyDescent="0.2">
      <c r="A1010" s="121" t="s">
        <v>12</v>
      </c>
      <c r="B1010" s="85"/>
      <c r="C1010" s="85"/>
      <c r="D1010" s="85"/>
      <c r="E1010" s="85"/>
      <c r="F1010" s="17"/>
    </row>
    <row r="1011" spans="1:6" ht="30.75" customHeight="1" x14ac:dyDescent="0.25">
      <c r="A1011" s="47" t="s">
        <v>807</v>
      </c>
      <c r="B1011" s="122">
        <f>$C$6+$E$6</f>
        <v>0</v>
      </c>
      <c r="C1011" s="120"/>
      <c r="D1011" s="120"/>
      <c r="E1011" s="120"/>
      <c r="F1011" s="48" t="s">
        <v>4</v>
      </c>
    </row>
    <row r="1012" spans="1:6" ht="30" customHeight="1" outlineLevel="1" x14ac:dyDescent="0.25">
      <c r="A1012" s="47" t="s">
        <v>808</v>
      </c>
      <c r="B1012" s="123">
        <v>0</v>
      </c>
      <c r="C1012" s="120"/>
      <c r="D1012" s="122">
        <f>B1011*B1012</f>
        <v>0</v>
      </c>
      <c r="E1012" s="120"/>
      <c r="F1012" s="49" t="e">
        <f>B1013/F989</f>
        <v>#DIV/0!</v>
      </c>
    </row>
    <row r="1013" spans="1:6" ht="31.5" customHeight="1" outlineLevel="1" x14ac:dyDescent="0.25">
      <c r="A1013" s="50" t="s">
        <v>809</v>
      </c>
      <c r="B1013" s="124">
        <f>$B$1011-($B$1011*B1012)</f>
        <v>0</v>
      </c>
      <c r="C1013" s="125"/>
      <c r="D1013" s="125"/>
      <c r="E1013" s="125"/>
      <c r="F1013" s="51"/>
    </row>
    <row r="1014" spans="1:6" ht="11.25" customHeight="1" x14ac:dyDescent="0.2">
      <c r="A1014" s="117" t="s">
        <v>12</v>
      </c>
      <c r="B1014" s="85"/>
      <c r="C1014" s="85"/>
      <c r="D1014" s="85"/>
      <c r="E1014" s="85"/>
    </row>
    <row r="1015" spans="1:6" ht="48.75" customHeight="1" x14ac:dyDescent="0.2">
      <c r="A1015" s="118" t="s">
        <v>812</v>
      </c>
      <c r="B1015" s="85"/>
      <c r="C1015" s="85"/>
      <c r="D1015" s="85"/>
      <c r="E1015" s="15"/>
    </row>
    <row r="1016" spans="1:6" ht="48" customHeight="1" x14ac:dyDescent="0.2">
      <c r="A1016" s="52" t="s">
        <v>813</v>
      </c>
      <c r="B1016" s="53"/>
      <c r="C1016" s="119" t="s">
        <v>814</v>
      </c>
      <c r="D1016" s="120"/>
      <c r="E1016" s="15"/>
    </row>
    <row r="1017" spans="1:6" ht="15.75" customHeight="1" x14ac:dyDescent="0.2">
      <c r="A1017" s="54"/>
      <c r="B1017" s="6"/>
      <c r="C1017" s="6"/>
      <c r="D1017" s="6"/>
      <c r="E1017" s="15"/>
    </row>
    <row r="1018" spans="1:6" ht="15.75" customHeight="1" x14ac:dyDescent="0.2">
      <c r="A1018" s="54"/>
      <c r="B1018" s="6"/>
      <c r="C1018" s="6"/>
      <c r="D1018" s="6"/>
      <c r="E1018" s="15"/>
    </row>
    <row r="1019" spans="1:6" ht="15.75" customHeight="1" x14ac:dyDescent="0.2">
      <c r="A1019" s="54"/>
      <c r="B1019" s="6"/>
      <c r="C1019" s="6"/>
      <c r="D1019" s="6"/>
      <c r="E1019" s="15"/>
    </row>
    <row r="1020" spans="1:6" ht="15.75" customHeight="1" x14ac:dyDescent="0.2">
      <c r="A1020" s="54"/>
      <c r="B1020" s="6"/>
      <c r="C1020" s="6"/>
      <c r="D1020" s="6"/>
      <c r="E1020" s="15"/>
    </row>
    <row r="1021" spans="1:6" ht="15.75" customHeight="1" x14ac:dyDescent="0.2">
      <c r="A1021" s="54"/>
      <c r="B1021" s="6"/>
      <c r="C1021" s="6"/>
      <c r="D1021" s="6"/>
      <c r="E1021" s="15"/>
    </row>
    <row r="1022" spans="1:6" ht="15.75" customHeight="1" x14ac:dyDescent="0.2">
      <c r="A1022" s="54"/>
      <c r="B1022" s="6"/>
      <c r="C1022" s="6"/>
      <c r="D1022" s="6"/>
      <c r="E1022" s="15"/>
    </row>
    <row r="1023" spans="1:6" ht="15.75" customHeight="1" x14ac:dyDescent="0.2">
      <c r="A1023" s="54"/>
      <c r="B1023" s="6"/>
      <c r="C1023" s="6"/>
      <c r="D1023" s="6"/>
      <c r="E1023" s="15"/>
    </row>
    <row r="1024" spans="1:6" ht="15.75" customHeight="1" x14ac:dyDescent="0.2">
      <c r="A1024" s="54"/>
      <c r="B1024" s="6"/>
      <c r="C1024" s="6"/>
      <c r="D1024" s="6"/>
      <c r="E1024" s="15"/>
    </row>
    <row r="1025" spans="1:5" ht="15.75" customHeight="1" x14ac:dyDescent="0.2">
      <c r="A1025" s="54"/>
      <c r="B1025" s="6"/>
      <c r="C1025" s="6"/>
      <c r="D1025" s="6"/>
      <c r="E1025" s="15"/>
    </row>
    <row r="1026" spans="1:5" ht="15.75" customHeight="1" x14ac:dyDescent="0.2">
      <c r="A1026" s="54"/>
      <c r="B1026" s="6"/>
      <c r="C1026" s="6"/>
      <c r="D1026" s="6"/>
      <c r="E1026" s="15"/>
    </row>
    <row r="1027" spans="1:5" ht="15.75" customHeight="1" x14ac:dyDescent="0.2">
      <c r="A1027" s="54"/>
      <c r="B1027" s="6"/>
      <c r="C1027" s="6"/>
      <c r="D1027" s="6"/>
      <c r="E1027" s="15"/>
    </row>
    <row r="1028" spans="1:5" ht="15.75" customHeight="1" x14ac:dyDescent="0.2">
      <c r="A1028" s="54"/>
      <c r="B1028" s="6"/>
      <c r="C1028" s="6"/>
      <c r="D1028" s="6"/>
      <c r="E1028" s="15"/>
    </row>
    <row r="1029" spans="1:5" ht="15.75" customHeight="1" x14ac:dyDescent="0.2">
      <c r="A1029" s="54"/>
      <c r="B1029" s="6"/>
      <c r="C1029" s="6"/>
      <c r="D1029" s="6"/>
      <c r="E1029" s="15"/>
    </row>
    <row r="1030" spans="1:5" ht="15.75" customHeight="1" x14ac:dyDescent="0.2">
      <c r="A1030" s="54"/>
      <c r="B1030" s="6"/>
      <c r="C1030" s="6"/>
      <c r="D1030" s="6"/>
      <c r="E1030" s="15"/>
    </row>
    <row r="1031" spans="1:5" ht="15.75" customHeight="1" x14ac:dyDescent="0.2">
      <c r="A1031" s="54"/>
      <c r="B1031" s="6"/>
      <c r="C1031" s="6"/>
      <c r="D1031" s="6"/>
      <c r="E1031" s="15"/>
    </row>
    <row r="1032" spans="1:5" ht="15.75" customHeight="1" x14ac:dyDescent="0.2">
      <c r="A1032" s="54"/>
      <c r="B1032" s="6"/>
      <c r="C1032" s="6"/>
      <c r="D1032" s="6"/>
      <c r="E1032" s="15"/>
    </row>
    <row r="1033" spans="1:5" ht="15.75" customHeight="1" x14ac:dyDescent="0.2">
      <c r="A1033" s="54"/>
      <c r="B1033" s="6"/>
      <c r="C1033" s="6"/>
      <c r="D1033" s="6"/>
      <c r="E1033" s="15"/>
    </row>
    <row r="1034" spans="1:5" ht="15.75" customHeight="1" x14ac:dyDescent="0.2">
      <c r="A1034" s="54"/>
      <c r="B1034" s="6"/>
      <c r="C1034" s="6"/>
      <c r="D1034" s="6"/>
      <c r="E1034" s="15"/>
    </row>
    <row r="1035" spans="1:5" ht="15.75" customHeight="1" x14ac:dyDescent="0.2">
      <c r="A1035" s="54"/>
      <c r="B1035" s="6"/>
      <c r="C1035" s="6"/>
      <c r="D1035" s="6"/>
      <c r="E1035" s="15"/>
    </row>
    <row r="1036" spans="1:5" ht="15.75" customHeight="1" x14ac:dyDescent="0.2">
      <c r="A1036" s="54"/>
      <c r="B1036" s="6"/>
      <c r="C1036" s="6"/>
      <c r="D1036" s="6"/>
      <c r="E1036" s="15"/>
    </row>
    <row r="1037" spans="1:5" ht="15.75" customHeight="1" x14ac:dyDescent="0.2">
      <c r="A1037" s="54"/>
      <c r="B1037" s="6"/>
      <c r="C1037" s="6"/>
      <c r="D1037" s="6"/>
      <c r="E1037" s="15"/>
    </row>
    <row r="1038" spans="1:5" ht="15.75" customHeight="1" x14ac:dyDescent="0.2">
      <c r="A1038" s="54"/>
      <c r="B1038" s="6"/>
      <c r="C1038" s="6"/>
      <c r="D1038" s="6"/>
      <c r="E1038" s="15"/>
    </row>
    <row r="1039" spans="1:5" ht="15.75" customHeight="1" x14ac:dyDescent="0.2">
      <c r="A1039" s="54"/>
      <c r="B1039" s="6"/>
      <c r="C1039" s="6"/>
      <c r="D1039" s="6"/>
      <c r="E1039" s="15"/>
    </row>
    <row r="1040" spans="1:5" ht="15.75" customHeight="1" x14ac:dyDescent="0.2">
      <c r="A1040" s="54"/>
      <c r="B1040" s="6"/>
      <c r="C1040" s="6"/>
      <c r="D1040" s="6"/>
      <c r="E1040" s="15"/>
    </row>
    <row r="1041" spans="1:5" ht="15.75" customHeight="1" x14ac:dyDescent="0.2">
      <c r="A1041" s="54"/>
      <c r="B1041" s="6"/>
      <c r="C1041" s="6"/>
      <c r="D1041" s="6"/>
      <c r="E1041" s="15"/>
    </row>
    <row r="1042" spans="1:5" ht="15.75" customHeight="1" x14ac:dyDescent="0.2">
      <c r="A1042" s="54"/>
      <c r="B1042" s="6"/>
      <c r="C1042" s="6"/>
      <c r="D1042" s="6"/>
      <c r="E1042" s="15"/>
    </row>
    <row r="1043" spans="1:5" ht="15.75" customHeight="1" x14ac:dyDescent="0.2">
      <c r="A1043" s="54"/>
      <c r="B1043" s="6"/>
      <c r="C1043" s="6"/>
      <c r="D1043" s="6"/>
      <c r="E1043" s="15"/>
    </row>
    <row r="1044" spans="1:5" ht="15.75" customHeight="1" x14ac:dyDescent="0.2">
      <c r="A1044" s="54"/>
      <c r="B1044" s="6"/>
      <c r="C1044" s="6"/>
      <c r="D1044" s="6"/>
      <c r="E1044" s="15"/>
    </row>
    <row r="1045" spans="1:5" ht="15.75" customHeight="1" x14ac:dyDescent="0.2">
      <c r="A1045" s="54"/>
      <c r="B1045" s="6"/>
      <c r="C1045" s="6"/>
      <c r="D1045" s="6"/>
      <c r="E1045" s="15"/>
    </row>
    <row r="1046" spans="1:5" ht="15.75" customHeight="1" x14ac:dyDescent="0.2">
      <c r="A1046" s="54"/>
      <c r="B1046" s="6"/>
      <c r="C1046" s="6"/>
      <c r="D1046" s="6"/>
      <c r="E1046" s="15"/>
    </row>
    <row r="1047" spans="1:5" ht="15.75" customHeight="1" x14ac:dyDescent="0.2">
      <c r="A1047" s="54"/>
      <c r="B1047" s="6"/>
      <c r="C1047" s="6"/>
      <c r="D1047" s="6"/>
      <c r="E1047" s="15"/>
    </row>
    <row r="1048" spans="1:5" ht="15.75" customHeight="1" x14ac:dyDescent="0.2">
      <c r="A1048" s="54"/>
      <c r="B1048" s="6"/>
      <c r="C1048" s="6"/>
      <c r="D1048" s="6"/>
      <c r="E1048" s="15"/>
    </row>
    <row r="1049" spans="1:5" ht="15.75" customHeight="1" x14ac:dyDescent="0.2">
      <c r="A1049" s="54"/>
      <c r="B1049" s="6"/>
      <c r="C1049" s="6"/>
      <c r="D1049" s="6"/>
      <c r="E1049" s="15"/>
    </row>
    <row r="1050" spans="1:5" ht="15.75" customHeight="1" x14ac:dyDescent="0.2">
      <c r="A1050" s="54"/>
      <c r="B1050" s="6"/>
      <c r="C1050" s="6"/>
      <c r="D1050" s="6"/>
      <c r="E1050" s="15"/>
    </row>
    <row r="1051" spans="1:5" ht="15.75" customHeight="1" x14ac:dyDescent="0.2">
      <c r="A1051" s="54"/>
      <c r="B1051" s="6"/>
      <c r="C1051" s="6"/>
      <c r="D1051" s="6"/>
      <c r="E1051" s="15"/>
    </row>
    <row r="1052" spans="1:5" ht="15.75" customHeight="1" x14ac:dyDescent="0.2">
      <c r="A1052" s="54"/>
      <c r="B1052" s="6"/>
      <c r="C1052" s="6"/>
      <c r="D1052" s="6"/>
      <c r="E1052" s="15"/>
    </row>
    <row r="1053" spans="1:5" ht="15.75" customHeight="1" x14ac:dyDescent="0.2">
      <c r="A1053" s="54"/>
      <c r="B1053" s="6"/>
      <c r="C1053" s="6"/>
      <c r="D1053" s="6"/>
      <c r="E1053" s="15"/>
    </row>
    <row r="1054" spans="1:5" ht="15.75" customHeight="1" x14ac:dyDescent="0.2">
      <c r="A1054" s="54"/>
      <c r="B1054" s="6"/>
      <c r="C1054" s="6"/>
      <c r="D1054" s="6"/>
      <c r="E1054" s="15"/>
    </row>
    <row r="1055" spans="1:5" ht="15.75" customHeight="1" x14ac:dyDescent="0.2">
      <c r="A1055" s="54"/>
      <c r="B1055" s="6"/>
      <c r="C1055" s="6"/>
      <c r="D1055" s="6"/>
      <c r="E1055" s="15"/>
    </row>
    <row r="1056" spans="1:5" ht="15.75" customHeight="1" x14ac:dyDescent="0.2">
      <c r="A1056" s="54"/>
      <c r="B1056" s="6"/>
      <c r="C1056" s="6"/>
      <c r="D1056" s="6"/>
      <c r="E1056" s="15"/>
    </row>
    <row r="1057" spans="1:5" ht="15.75" customHeight="1" x14ac:dyDescent="0.2">
      <c r="A1057" s="54"/>
      <c r="B1057" s="6"/>
      <c r="C1057" s="6"/>
      <c r="D1057" s="6"/>
      <c r="E1057" s="15"/>
    </row>
    <row r="1058" spans="1:5" ht="15.75" customHeight="1" x14ac:dyDescent="0.2">
      <c r="A1058" s="54"/>
      <c r="B1058" s="6"/>
      <c r="C1058" s="6"/>
      <c r="D1058" s="6"/>
      <c r="E1058" s="15"/>
    </row>
    <row r="1059" spans="1:5" ht="15.75" customHeight="1" x14ac:dyDescent="0.2">
      <c r="A1059" s="54"/>
      <c r="B1059" s="6"/>
      <c r="C1059" s="6"/>
      <c r="D1059" s="6"/>
      <c r="E1059" s="15"/>
    </row>
    <row r="1060" spans="1:5" ht="15.75" customHeight="1" x14ac:dyDescent="0.2">
      <c r="A1060" s="54"/>
      <c r="B1060" s="6"/>
      <c r="C1060" s="6"/>
      <c r="D1060" s="6"/>
      <c r="E1060" s="15"/>
    </row>
    <row r="1061" spans="1:5" ht="15.75" customHeight="1" x14ac:dyDescent="0.2">
      <c r="A1061" s="54"/>
      <c r="B1061" s="6"/>
      <c r="C1061" s="6"/>
      <c r="D1061" s="6"/>
      <c r="E1061" s="15"/>
    </row>
    <row r="1062" spans="1:5" ht="15.75" customHeight="1" x14ac:dyDescent="0.2">
      <c r="A1062" s="54"/>
      <c r="B1062" s="6"/>
      <c r="C1062" s="6"/>
      <c r="D1062" s="6"/>
      <c r="E1062" s="15"/>
    </row>
    <row r="1063" spans="1:5" ht="15.75" customHeight="1" x14ac:dyDescent="0.2">
      <c r="A1063" s="54"/>
      <c r="B1063" s="6"/>
      <c r="C1063" s="6"/>
      <c r="D1063" s="6"/>
      <c r="E1063" s="15"/>
    </row>
    <row r="1064" spans="1:5" ht="15.75" customHeight="1" x14ac:dyDescent="0.2">
      <c r="A1064" s="54"/>
      <c r="B1064" s="6"/>
      <c r="C1064" s="6"/>
      <c r="D1064" s="6"/>
      <c r="E1064" s="15"/>
    </row>
    <row r="1065" spans="1:5" ht="15.75" customHeight="1" x14ac:dyDescent="0.2">
      <c r="A1065" s="54"/>
      <c r="B1065" s="6"/>
      <c r="C1065" s="6"/>
      <c r="D1065" s="6"/>
      <c r="E1065" s="15"/>
    </row>
    <row r="1066" spans="1:5" ht="15.75" customHeight="1" x14ac:dyDescent="0.2">
      <c r="A1066" s="54"/>
      <c r="B1066" s="6"/>
      <c r="C1066" s="6"/>
      <c r="D1066" s="6"/>
      <c r="E1066" s="15"/>
    </row>
    <row r="1067" spans="1:5" ht="15.75" customHeight="1" x14ac:dyDescent="0.2">
      <c r="A1067" s="54"/>
      <c r="B1067" s="6"/>
      <c r="C1067" s="6"/>
      <c r="D1067" s="6"/>
      <c r="E1067" s="15"/>
    </row>
    <row r="1068" spans="1:5" ht="15.75" customHeight="1" x14ac:dyDescent="0.2">
      <c r="A1068" s="54"/>
      <c r="B1068" s="6"/>
      <c r="C1068" s="6"/>
      <c r="D1068" s="6"/>
      <c r="E1068" s="15"/>
    </row>
    <row r="1069" spans="1:5" ht="15.75" customHeight="1" x14ac:dyDescent="0.2">
      <c r="A1069" s="54"/>
      <c r="B1069" s="6"/>
      <c r="C1069" s="6"/>
      <c r="D1069" s="6"/>
      <c r="E1069" s="15"/>
    </row>
    <row r="1070" spans="1:5" ht="15.75" customHeight="1" x14ac:dyDescent="0.2">
      <c r="A1070" s="54"/>
      <c r="B1070" s="6"/>
      <c r="C1070" s="6"/>
      <c r="D1070" s="6"/>
      <c r="E1070" s="15"/>
    </row>
    <row r="1071" spans="1:5" ht="15.75" customHeight="1" x14ac:dyDescent="0.2">
      <c r="A1071" s="54"/>
      <c r="B1071" s="6"/>
      <c r="C1071" s="6"/>
      <c r="D1071" s="6"/>
      <c r="E1071" s="15"/>
    </row>
    <row r="1072" spans="1:5" ht="15.75" customHeight="1" x14ac:dyDescent="0.2">
      <c r="A1072" s="54"/>
      <c r="B1072" s="6"/>
      <c r="C1072" s="6"/>
      <c r="D1072" s="6"/>
      <c r="E1072" s="15"/>
    </row>
  </sheetData>
  <mergeCells count="2011">
    <mergeCell ref="D426:D427"/>
    <mergeCell ref="E426:E427"/>
    <mergeCell ref="B422:B423"/>
    <mergeCell ref="B424:B425"/>
    <mergeCell ref="C424:C425"/>
    <mergeCell ref="D424:D425"/>
    <mergeCell ref="E424:E425"/>
    <mergeCell ref="B426:B427"/>
    <mergeCell ref="C426:C427"/>
    <mergeCell ref="D430:D431"/>
    <mergeCell ref="E430:E431"/>
    <mergeCell ref="B428:B429"/>
    <mergeCell ref="C428:C429"/>
    <mergeCell ref="D428:D429"/>
    <mergeCell ref="E428:E429"/>
    <mergeCell ref="F428:F429"/>
    <mergeCell ref="B430:B431"/>
    <mergeCell ref="C430:C431"/>
    <mergeCell ref="E434:E435"/>
    <mergeCell ref="F434:F435"/>
    <mergeCell ref="B432:B433"/>
    <mergeCell ref="C432:C433"/>
    <mergeCell ref="D432:D433"/>
    <mergeCell ref="E432:E433"/>
    <mergeCell ref="B434:B435"/>
    <mergeCell ref="C434:C435"/>
    <mergeCell ref="D434:D435"/>
    <mergeCell ref="D438:D439"/>
    <mergeCell ref="E438:E439"/>
    <mergeCell ref="B436:B437"/>
    <mergeCell ref="C436:C437"/>
    <mergeCell ref="D436:D437"/>
    <mergeCell ref="E436:E437"/>
    <mergeCell ref="F436:F437"/>
    <mergeCell ref="C438:C439"/>
    <mergeCell ref="F438:F439"/>
    <mergeCell ref="B438:B439"/>
    <mergeCell ref="B398:B399"/>
    <mergeCell ref="C398:C399"/>
    <mergeCell ref="D398:D399"/>
    <mergeCell ref="E398:E399"/>
    <mergeCell ref="C400:C401"/>
    <mergeCell ref="D400:D401"/>
    <mergeCell ref="E400:E401"/>
    <mergeCell ref="B400:B401"/>
    <mergeCell ref="B402:B403"/>
    <mergeCell ref="C402:C403"/>
    <mergeCell ref="D402:D403"/>
    <mergeCell ref="E402:E403"/>
    <mergeCell ref="B404:B405"/>
    <mergeCell ref="C404:C405"/>
    <mergeCell ref="B406:B407"/>
    <mergeCell ref="C406:C407"/>
    <mergeCell ref="D406:D407"/>
    <mergeCell ref="E406:E407"/>
    <mergeCell ref="C408:C409"/>
    <mergeCell ref="D408:D409"/>
    <mergeCell ref="E408:E409"/>
    <mergeCell ref="B408:B409"/>
    <mergeCell ref="B410:B411"/>
    <mergeCell ref="C410:C411"/>
    <mergeCell ref="D410:D411"/>
    <mergeCell ref="E410:E411"/>
    <mergeCell ref="A412:E412"/>
    <mergeCell ref="A413:D413"/>
    <mergeCell ref="D422:D423"/>
    <mergeCell ref="E422:E423"/>
    <mergeCell ref="B414:B415"/>
    <mergeCell ref="C414:C415"/>
    <mergeCell ref="D414:D415"/>
    <mergeCell ref="E414:E415"/>
    <mergeCell ref="F414:F415"/>
    <mergeCell ref="C422:C423"/>
    <mergeCell ref="F422:F423"/>
    <mergeCell ref="B440:B441"/>
    <mergeCell ref="C440:C441"/>
    <mergeCell ref="D440:D441"/>
    <mergeCell ref="E440:E441"/>
    <mergeCell ref="A442:E442"/>
    <mergeCell ref="A443:D443"/>
    <mergeCell ref="D462:D463"/>
    <mergeCell ref="E462:E463"/>
    <mergeCell ref="B460:B461"/>
    <mergeCell ref="C460:C461"/>
    <mergeCell ref="D460:D461"/>
    <mergeCell ref="E460:E461"/>
    <mergeCell ref="F460:F461"/>
    <mergeCell ref="B462:B463"/>
    <mergeCell ref="C462:C463"/>
    <mergeCell ref="A464:E464"/>
    <mergeCell ref="A465:D465"/>
    <mergeCell ref="D452:D453"/>
    <mergeCell ref="E452:E453"/>
    <mergeCell ref="C454:C455"/>
    <mergeCell ref="D454:D455"/>
    <mergeCell ref="E454:E455"/>
    <mergeCell ref="D458:D459"/>
    <mergeCell ref="E458:E459"/>
    <mergeCell ref="B454:B455"/>
    <mergeCell ref="B456:B457"/>
    <mergeCell ref="C456:C457"/>
    <mergeCell ref="D456:D457"/>
    <mergeCell ref="E456:E457"/>
    <mergeCell ref="B458:B459"/>
    <mergeCell ref="C458:C459"/>
    <mergeCell ref="B466:B467"/>
    <mergeCell ref="C466:C467"/>
    <mergeCell ref="D466:D467"/>
    <mergeCell ref="E466:E467"/>
    <mergeCell ref="E468:E469"/>
    <mergeCell ref="F480:F481"/>
    <mergeCell ref="F484:F485"/>
    <mergeCell ref="F488:F489"/>
    <mergeCell ref="F492:F493"/>
    <mergeCell ref="C468:C469"/>
    <mergeCell ref="D468:D469"/>
    <mergeCell ref="F468:F469"/>
    <mergeCell ref="F470:F471"/>
    <mergeCell ref="F472:F473"/>
    <mergeCell ref="F474:F475"/>
    <mergeCell ref="F476:F477"/>
    <mergeCell ref="D472:D473"/>
    <mergeCell ref="E472:E473"/>
    <mergeCell ref="B468:B469"/>
    <mergeCell ref="B470:B471"/>
    <mergeCell ref="C470:C471"/>
    <mergeCell ref="D470:D471"/>
    <mergeCell ref="E470:E471"/>
    <mergeCell ref="B472:B473"/>
    <mergeCell ref="C472:C473"/>
    <mergeCell ref="B474:B475"/>
    <mergeCell ref="C474:C475"/>
    <mergeCell ref="D474:D475"/>
    <mergeCell ref="E474:E475"/>
    <mergeCell ref="C476:C477"/>
    <mergeCell ref="D476:D477"/>
    <mergeCell ref="E476:E477"/>
    <mergeCell ref="B476:B477"/>
    <mergeCell ref="B478:B479"/>
    <mergeCell ref="C478:C479"/>
    <mergeCell ref="D478:D479"/>
    <mergeCell ref="E478:E479"/>
    <mergeCell ref="B480:B481"/>
    <mergeCell ref="C480:C481"/>
    <mergeCell ref="C484:C485"/>
    <mergeCell ref="D484:D485"/>
    <mergeCell ref="D480:D481"/>
    <mergeCell ref="E480:E481"/>
    <mergeCell ref="B482:B483"/>
    <mergeCell ref="C482:C483"/>
    <mergeCell ref="D482:D483"/>
    <mergeCell ref="E482:E483"/>
    <mergeCell ref="E484:E485"/>
    <mergeCell ref="D488:D489"/>
    <mergeCell ref="E488:E489"/>
    <mergeCell ref="B484:B485"/>
    <mergeCell ref="B486:B487"/>
    <mergeCell ref="C486:C487"/>
    <mergeCell ref="D486:D487"/>
    <mergeCell ref="E486:E487"/>
    <mergeCell ref="B488:B489"/>
    <mergeCell ref="C488:C489"/>
    <mergeCell ref="B490:B491"/>
    <mergeCell ref="C490:C491"/>
    <mergeCell ref="D490:D491"/>
    <mergeCell ref="E490:E491"/>
    <mergeCell ref="C492:C493"/>
    <mergeCell ref="D492:D493"/>
    <mergeCell ref="E492:E493"/>
    <mergeCell ref="B492:B493"/>
    <mergeCell ref="B494:B495"/>
    <mergeCell ref="C494:C495"/>
    <mergeCell ref="D494:D495"/>
    <mergeCell ref="E494:E495"/>
    <mergeCell ref="B496:B497"/>
    <mergeCell ref="C496:C497"/>
    <mergeCell ref="B444:B445"/>
    <mergeCell ref="C444:C445"/>
    <mergeCell ref="D444:D445"/>
    <mergeCell ref="E444:E445"/>
    <mergeCell ref="C446:C447"/>
    <mergeCell ref="D446:D447"/>
    <mergeCell ref="E446:E447"/>
    <mergeCell ref="D450:D451"/>
    <mergeCell ref="E450:E451"/>
    <mergeCell ref="B446:B447"/>
    <mergeCell ref="B448:B449"/>
    <mergeCell ref="C448:C449"/>
    <mergeCell ref="D448:D449"/>
    <mergeCell ref="E448:E449"/>
    <mergeCell ref="B450:B451"/>
    <mergeCell ref="C450:C451"/>
    <mergeCell ref="B452:B453"/>
    <mergeCell ref="C452:C453"/>
    <mergeCell ref="B500:B501"/>
    <mergeCell ref="B502:B503"/>
    <mergeCell ref="C502:C503"/>
    <mergeCell ref="D502:D503"/>
    <mergeCell ref="E502:E503"/>
    <mergeCell ref="D521:D522"/>
    <mergeCell ref="E521:E522"/>
    <mergeCell ref="B517:B518"/>
    <mergeCell ref="B519:B520"/>
    <mergeCell ref="C519:C520"/>
    <mergeCell ref="D519:D520"/>
    <mergeCell ref="E519:E520"/>
    <mergeCell ref="B521:B522"/>
    <mergeCell ref="C521:C522"/>
    <mergeCell ref="C500:C501"/>
    <mergeCell ref="D500:D501"/>
    <mergeCell ref="D496:D497"/>
    <mergeCell ref="E496:E497"/>
    <mergeCell ref="B498:B499"/>
    <mergeCell ref="C498:C499"/>
    <mergeCell ref="D498:D499"/>
    <mergeCell ref="E498:E499"/>
    <mergeCell ref="E500:E501"/>
    <mergeCell ref="A504:E504"/>
    <mergeCell ref="A505:D505"/>
    <mergeCell ref="B506:B507"/>
    <mergeCell ref="C506:C507"/>
    <mergeCell ref="D506:D507"/>
    <mergeCell ref="E506:E507"/>
    <mergeCell ref="B508:B509"/>
    <mergeCell ref="E508:E509"/>
    <mergeCell ref="C512:C513"/>
    <mergeCell ref="D512:D513"/>
    <mergeCell ref="C508:C509"/>
    <mergeCell ref="D508:D509"/>
    <mergeCell ref="B510:B511"/>
    <mergeCell ref="C510:C511"/>
    <mergeCell ref="D510:D511"/>
    <mergeCell ref="E510:E511"/>
    <mergeCell ref="B512:B513"/>
    <mergeCell ref="E512:E513"/>
    <mergeCell ref="A514:E514"/>
    <mergeCell ref="A515:D515"/>
    <mergeCell ref="A516:D516"/>
    <mergeCell ref="C517:C518"/>
    <mergeCell ref="D517:D518"/>
    <mergeCell ref="E517:E518"/>
    <mergeCell ref="D529:D530"/>
    <mergeCell ref="E529:E530"/>
    <mergeCell ref="B523:B524"/>
    <mergeCell ref="C523:C524"/>
    <mergeCell ref="D523:D524"/>
    <mergeCell ref="E523:E524"/>
    <mergeCell ref="C525:C526"/>
    <mergeCell ref="D525:D526"/>
    <mergeCell ref="E525:E526"/>
    <mergeCell ref="B525:B526"/>
    <mergeCell ref="B527:B528"/>
    <mergeCell ref="C527:C528"/>
    <mergeCell ref="D527:D528"/>
    <mergeCell ref="E527:E528"/>
    <mergeCell ref="B529:B530"/>
    <mergeCell ref="C529:C530"/>
    <mergeCell ref="E545:E546"/>
    <mergeCell ref="B539:B540"/>
    <mergeCell ref="C539:C540"/>
    <mergeCell ref="D539:D540"/>
    <mergeCell ref="E539:E540"/>
    <mergeCell ref="C541:C542"/>
    <mergeCell ref="D541:D542"/>
    <mergeCell ref="E541:E542"/>
    <mergeCell ref="B541:B542"/>
    <mergeCell ref="B543:B544"/>
    <mergeCell ref="C543:C544"/>
    <mergeCell ref="D543:D544"/>
    <mergeCell ref="E543:E544"/>
    <mergeCell ref="C545:C546"/>
    <mergeCell ref="A547:D547"/>
    <mergeCell ref="D550:D551"/>
    <mergeCell ref="E550:E551"/>
    <mergeCell ref="B545:B546"/>
    <mergeCell ref="B548:B549"/>
    <mergeCell ref="C548:C549"/>
    <mergeCell ref="D548:D549"/>
    <mergeCell ref="E548:E549"/>
    <mergeCell ref="B550:B551"/>
    <mergeCell ref="C550:C551"/>
    <mergeCell ref="D582:D583"/>
    <mergeCell ref="E582:E583"/>
    <mergeCell ref="B584:B585"/>
    <mergeCell ref="C584:C585"/>
    <mergeCell ref="B573:B574"/>
    <mergeCell ref="C573:C574"/>
    <mergeCell ref="D573:D574"/>
    <mergeCell ref="E573:E574"/>
    <mergeCell ref="C575:C576"/>
    <mergeCell ref="D575:D576"/>
    <mergeCell ref="E575:E576"/>
    <mergeCell ref="B561:B562"/>
    <mergeCell ref="C561:C562"/>
    <mergeCell ref="D561:D562"/>
    <mergeCell ref="E561:E562"/>
    <mergeCell ref="B531:B532"/>
    <mergeCell ref="C531:C532"/>
    <mergeCell ref="D531:D532"/>
    <mergeCell ref="E531:E532"/>
    <mergeCell ref="C533:C534"/>
    <mergeCell ref="D533:D534"/>
    <mergeCell ref="E533:E534"/>
    <mergeCell ref="D537:D538"/>
    <mergeCell ref="E537:E538"/>
    <mergeCell ref="B533:B534"/>
    <mergeCell ref="B535:B536"/>
    <mergeCell ref="C535:C536"/>
    <mergeCell ref="D535:D536"/>
    <mergeCell ref="E535:E536"/>
    <mergeCell ref="B537:B538"/>
    <mergeCell ref="C537:C538"/>
    <mergeCell ref="D545:D546"/>
    <mergeCell ref="B613:B614"/>
    <mergeCell ref="C613:C614"/>
    <mergeCell ref="B601:B602"/>
    <mergeCell ref="B603:B604"/>
    <mergeCell ref="C603:C604"/>
    <mergeCell ref="D603:D604"/>
    <mergeCell ref="E603:E604"/>
    <mergeCell ref="B605:B606"/>
    <mergeCell ref="C605:C606"/>
    <mergeCell ref="B607:B608"/>
    <mergeCell ref="C607:C608"/>
    <mergeCell ref="D607:D608"/>
    <mergeCell ref="E607:E608"/>
    <mergeCell ref="C609:C610"/>
    <mergeCell ref="D609:D610"/>
    <mergeCell ref="E609:E610"/>
    <mergeCell ref="D558:D559"/>
    <mergeCell ref="E558:E559"/>
    <mergeCell ref="D579:D580"/>
    <mergeCell ref="E579:E580"/>
    <mergeCell ref="B575:B576"/>
    <mergeCell ref="B577:B578"/>
    <mergeCell ref="C577:C578"/>
    <mergeCell ref="D577:D578"/>
    <mergeCell ref="E577:E578"/>
    <mergeCell ref="C579:C580"/>
    <mergeCell ref="A581:D581"/>
    <mergeCell ref="D584:D585"/>
    <mergeCell ref="E584:E585"/>
    <mergeCell ref="B579:B580"/>
    <mergeCell ref="B582:B583"/>
    <mergeCell ref="C582:C583"/>
    <mergeCell ref="B586:B587"/>
    <mergeCell ref="C586:C587"/>
    <mergeCell ref="D586:D587"/>
    <mergeCell ref="E586:E587"/>
    <mergeCell ref="C588:C589"/>
    <mergeCell ref="D588:D589"/>
    <mergeCell ref="E588:E589"/>
    <mergeCell ref="B588:B589"/>
    <mergeCell ref="B590:B591"/>
    <mergeCell ref="C590:C591"/>
    <mergeCell ref="D590:D591"/>
    <mergeCell ref="E590:E591"/>
    <mergeCell ref="C592:C593"/>
    <mergeCell ref="A594:D594"/>
    <mergeCell ref="D597:D598"/>
    <mergeCell ref="E597:E598"/>
    <mergeCell ref="B592:B593"/>
    <mergeCell ref="B595:B596"/>
    <mergeCell ref="C595:C596"/>
    <mergeCell ref="D595:D596"/>
    <mergeCell ref="E595:E596"/>
    <mergeCell ref="B597:B598"/>
    <mergeCell ref="C597:C598"/>
    <mergeCell ref="B599:B600"/>
    <mergeCell ref="C599:C600"/>
    <mergeCell ref="D599:D600"/>
    <mergeCell ref="E599:E600"/>
    <mergeCell ref="C601:C602"/>
    <mergeCell ref="D601:D602"/>
    <mergeCell ref="E601:E602"/>
    <mergeCell ref="D605:D606"/>
    <mergeCell ref="E605:E606"/>
    <mergeCell ref="D621:D622"/>
    <mergeCell ref="E621:E622"/>
    <mergeCell ref="B615:B616"/>
    <mergeCell ref="C615:C616"/>
    <mergeCell ref="D615:D616"/>
    <mergeCell ref="E615:E616"/>
    <mergeCell ref="C617:C618"/>
    <mergeCell ref="D617:D618"/>
    <mergeCell ref="E617:E618"/>
    <mergeCell ref="B617:B618"/>
    <mergeCell ref="B619:B620"/>
    <mergeCell ref="C619:C620"/>
    <mergeCell ref="D619:D620"/>
    <mergeCell ref="E619:E620"/>
    <mergeCell ref="B621:B622"/>
    <mergeCell ref="C621:C622"/>
    <mergeCell ref="D613:D614"/>
    <mergeCell ref="E613:E614"/>
    <mergeCell ref="B609:B610"/>
    <mergeCell ref="B611:B612"/>
    <mergeCell ref="C611:C612"/>
    <mergeCell ref="D611:D612"/>
    <mergeCell ref="E611:E612"/>
    <mergeCell ref="B623:B624"/>
    <mergeCell ref="C623:C624"/>
    <mergeCell ref="D623:D624"/>
    <mergeCell ref="E623:E624"/>
    <mergeCell ref="C625:C626"/>
    <mergeCell ref="D625:D626"/>
    <mergeCell ref="E625:E626"/>
    <mergeCell ref="D629:D630"/>
    <mergeCell ref="E629:E630"/>
    <mergeCell ref="B625:B626"/>
    <mergeCell ref="B627:B628"/>
    <mergeCell ref="C627:C628"/>
    <mergeCell ref="D627:D628"/>
    <mergeCell ref="E627:E628"/>
    <mergeCell ref="B629:B630"/>
    <mergeCell ref="C629:C630"/>
    <mergeCell ref="D637:D638"/>
    <mergeCell ref="E637:E638"/>
    <mergeCell ref="B639:B640"/>
    <mergeCell ref="C639:C640"/>
    <mergeCell ref="D639:D640"/>
    <mergeCell ref="E639:E640"/>
    <mergeCell ref="B631:B632"/>
    <mergeCell ref="C631:C632"/>
    <mergeCell ref="D631:D632"/>
    <mergeCell ref="E631:E632"/>
    <mergeCell ref="C633:C634"/>
    <mergeCell ref="D633:D634"/>
    <mergeCell ref="E633:E634"/>
    <mergeCell ref="B633:B634"/>
    <mergeCell ref="B635:B636"/>
    <mergeCell ref="C635:C636"/>
    <mergeCell ref="D635:D636"/>
    <mergeCell ref="E635:E636"/>
    <mergeCell ref="B637:B638"/>
    <mergeCell ref="C637:C638"/>
    <mergeCell ref="A641:E641"/>
    <mergeCell ref="A642:D642"/>
    <mergeCell ref="A643:D643"/>
    <mergeCell ref="B644:B645"/>
    <mergeCell ref="C644:C645"/>
    <mergeCell ref="D644:D645"/>
    <mergeCell ref="E644:E645"/>
    <mergeCell ref="B646:B647"/>
    <mergeCell ref="C646:C647"/>
    <mergeCell ref="D646:D647"/>
    <mergeCell ref="E646:E647"/>
    <mergeCell ref="C648:C649"/>
    <mergeCell ref="D648:D649"/>
    <mergeCell ref="E648:E649"/>
    <mergeCell ref="D652:D653"/>
    <mergeCell ref="E652:E653"/>
    <mergeCell ref="B648:B649"/>
    <mergeCell ref="B650:B651"/>
    <mergeCell ref="C650:C651"/>
    <mergeCell ref="D650:D651"/>
    <mergeCell ref="E650:E651"/>
    <mergeCell ref="B652:B653"/>
    <mergeCell ref="C652:C653"/>
    <mergeCell ref="D660:D661"/>
    <mergeCell ref="E660:E661"/>
    <mergeCell ref="B654:B655"/>
    <mergeCell ref="C654:C655"/>
    <mergeCell ref="D654:D655"/>
    <mergeCell ref="E654:E655"/>
    <mergeCell ref="C656:C657"/>
    <mergeCell ref="D656:D657"/>
    <mergeCell ref="E656:E657"/>
    <mergeCell ref="B656:B657"/>
    <mergeCell ref="B658:B659"/>
    <mergeCell ref="C658:C659"/>
    <mergeCell ref="D658:D659"/>
    <mergeCell ref="E658:E659"/>
    <mergeCell ref="B660:B661"/>
    <mergeCell ref="C660:C661"/>
    <mergeCell ref="D664:D665"/>
    <mergeCell ref="E664:E665"/>
    <mergeCell ref="B662:B663"/>
    <mergeCell ref="C662:C663"/>
    <mergeCell ref="D662:D663"/>
    <mergeCell ref="E662:E663"/>
    <mergeCell ref="F662:F663"/>
    <mergeCell ref="C664:C665"/>
    <mergeCell ref="F664:F665"/>
    <mergeCell ref="B664:B665"/>
    <mergeCell ref="B666:B667"/>
    <mergeCell ref="C666:C667"/>
    <mergeCell ref="D666:D667"/>
    <mergeCell ref="E666:E667"/>
    <mergeCell ref="F666:F667"/>
    <mergeCell ref="B668:B669"/>
    <mergeCell ref="E668:E669"/>
    <mergeCell ref="C672:C673"/>
    <mergeCell ref="D672:D673"/>
    <mergeCell ref="D676:D677"/>
    <mergeCell ref="E676:E677"/>
    <mergeCell ref="D693:D694"/>
    <mergeCell ref="E693:E694"/>
    <mergeCell ref="B691:B692"/>
    <mergeCell ref="C691:C692"/>
    <mergeCell ref="D691:D692"/>
    <mergeCell ref="E691:E692"/>
    <mergeCell ref="F691:F692"/>
    <mergeCell ref="C693:C694"/>
    <mergeCell ref="F693:F694"/>
    <mergeCell ref="C668:C669"/>
    <mergeCell ref="D668:D669"/>
    <mergeCell ref="B670:B671"/>
    <mergeCell ref="C670:C671"/>
    <mergeCell ref="D670:D671"/>
    <mergeCell ref="E670:E671"/>
    <mergeCell ref="E672:E673"/>
    <mergeCell ref="B672:B673"/>
    <mergeCell ref="C695:C696"/>
    <mergeCell ref="D695:D696"/>
    <mergeCell ref="E695:E696"/>
    <mergeCell ref="B697:B698"/>
    <mergeCell ref="C697:C698"/>
    <mergeCell ref="B683:B684"/>
    <mergeCell ref="C683:C684"/>
    <mergeCell ref="D683:D684"/>
    <mergeCell ref="E683:E684"/>
    <mergeCell ref="F683:F684"/>
    <mergeCell ref="C685:C686"/>
    <mergeCell ref="F685:F686"/>
    <mergeCell ref="B685:B686"/>
    <mergeCell ref="B687:B688"/>
    <mergeCell ref="C687:C688"/>
    <mergeCell ref="D687:D688"/>
    <mergeCell ref="E687:E688"/>
    <mergeCell ref="B689:B690"/>
    <mergeCell ref="C689:C690"/>
    <mergeCell ref="D689:D690"/>
    <mergeCell ref="E689:E690"/>
    <mergeCell ref="F689:F690"/>
    <mergeCell ref="D709:D710"/>
    <mergeCell ref="E709:E710"/>
    <mergeCell ref="D713:D714"/>
    <mergeCell ref="E713:E714"/>
    <mergeCell ref="B709:B710"/>
    <mergeCell ref="B711:B712"/>
    <mergeCell ref="C711:C712"/>
    <mergeCell ref="D711:D712"/>
    <mergeCell ref="E711:E712"/>
    <mergeCell ref="B713:B714"/>
    <mergeCell ref="C713:C714"/>
    <mergeCell ref="B674:B675"/>
    <mergeCell ref="C674:C675"/>
    <mergeCell ref="D674:D675"/>
    <mergeCell ref="E674:E675"/>
    <mergeCell ref="C676:C677"/>
    <mergeCell ref="A678:D678"/>
    <mergeCell ref="D681:D682"/>
    <mergeCell ref="E681:E682"/>
    <mergeCell ref="B676:B677"/>
    <mergeCell ref="B679:B680"/>
    <mergeCell ref="C679:C680"/>
    <mergeCell ref="D679:D680"/>
    <mergeCell ref="E679:E680"/>
    <mergeCell ref="B681:B682"/>
    <mergeCell ref="C681:C682"/>
    <mergeCell ref="D685:D686"/>
    <mergeCell ref="E685:E686"/>
    <mergeCell ref="D697:D698"/>
    <mergeCell ref="E697:E698"/>
    <mergeCell ref="B693:B694"/>
    <mergeCell ref="B695:B696"/>
    <mergeCell ref="B730:B731"/>
    <mergeCell ref="E730:E731"/>
    <mergeCell ref="C734:C735"/>
    <mergeCell ref="D734:D735"/>
    <mergeCell ref="C730:C731"/>
    <mergeCell ref="D730:D731"/>
    <mergeCell ref="B732:B733"/>
    <mergeCell ref="C732:C733"/>
    <mergeCell ref="D732:D733"/>
    <mergeCell ref="E732:E733"/>
    <mergeCell ref="E734:E735"/>
    <mergeCell ref="D705:D706"/>
    <mergeCell ref="E705:E706"/>
    <mergeCell ref="B715:B716"/>
    <mergeCell ref="C715:C716"/>
    <mergeCell ref="D715:D716"/>
    <mergeCell ref="E715:E716"/>
    <mergeCell ref="C717:C718"/>
    <mergeCell ref="D717:D718"/>
    <mergeCell ref="E717:E718"/>
    <mergeCell ref="B717:B718"/>
    <mergeCell ref="B719:B720"/>
    <mergeCell ref="C719:C720"/>
    <mergeCell ref="D719:D720"/>
    <mergeCell ref="E719:E720"/>
    <mergeCell ref="B721:B722"/>
    <mergeCell ref="C721:C722"/>
    <mergeCell ref="B723:B724"/>
    <mergeCell ref="C723:C724"/>
    <mergeCell ref="D723:D724"/>
    <mergeCell ref="E723:E724"/>
    <mergeCell ref="C709:C710"/>
    <mergeCell ref="B699:B700"/>
    <mergeCell ref="C699:C700"/>
    <mergeCell ref="D699:D700"/>
    <mergeCell ref="E699:E700"/>
    <mergeCell ref="C701:C702"/>
    <mergeCell ref="D701:D702"/>
    <mergeCell ref="E701:E702"/>
    <mergeCell ref="B701:B702"/>
    <mergeCell ref="B703:B704"/>
    <mergeCell ref="C703:C704"/>
    <mergeCell ref="D703:D704"/>
    <mergeCell ref="E703:E704"/>
    <mergeCell ref="B705:B706"/>
    <mergeCell ref="C705:C706"/>
    <mergeCell ref="B707:B708"/>
    <mergeCell ref="C707:C708"/>
    <mergeCell ref="D707:D708"/>
    <mergeCell ref="E707:E708"/>
    <mergeCell ref="D721:D722"/>
    <mergeCell ref="E721:E722"/>
    <mergeCell ref="B742:B743"/>
    <mergeCell ref="B744:B745"/>
    <mergeCell ref="C744:C745"/>
    <mergeCell ref="D744:D745"/>
    <mergeCell ref="E744:E745"/>
    <mergeCell ref="B740:B741"/>
    <mergeCell ref="C740:C741"/>
    <mergeCell ref="D740:D741"/>
    <mergeCell ref="E740:E741"/>
    <mergeCell ref="C742:C743"/>
    <mergeCell ref="D742:D743"/>
    <mergeCell ref="E742:E743"/>
    <mergeCell ref="D738:D739"/>
    <mergeCell ref="E738:E739"/>
    <mergeCell ref="B734:B735"/>
    <mergeCell ref="B736:B737"/>
    <mergeCell ref="C736:C737"/>
    <mergeCell ref="D736:D737"/>
    <mergeCell ref="E736:E737"/>
    <mergeCell ref="B738:B739"/>
    <mergeCell ref="C738:C739"/>
    <mergeCell ref="B725:B726"/>
    <mergeCell ref="C725:C726"/>
    <mergeCell ref="E725:E726"/>
    <mergeCell ref="D725:D726"/>
    <mergeCell ref="A727:D727"/>
    <mergeCell ref="B728:B729"/>
    <mergeCell ref="C728:C729"/>
    <mergeCell ref="D728:D729"/>
    <mergeCell ref="E728:E729"/>
    <mergeCell ref="A746:E746"/>
    <mergeCell ref="A747:D747"/>
    <mergeCell ref="A748:D748"/>
    <mergeCell ref="B749:B750"/>
    <mergeCell ref="C749:C750"/>
    <mergeCell ref="D749:D750"/>
    <mergeCell ref="E749:E750"/>
    <mergeCell ref="B751:B752"/>
    <mergeCell ref="C751:C752"/>
    <mergeCell ref="D751:D752"/>
    <mergeCell ref="E751:E752"/>
    <mergeCell ref="C753:C754"/>
    <mergeCell ref="D753:D754"/>
    <mergeCell ref="E753:E754"/>
    <mergeCell ref="D757:D758"/>
    <mergeCell ref="E757:E758"/>
    <mergeCell ref="B753:B754"/>
    <mergeCell ref="B755:B756"/>
    <mergeCell ref="C755:C756"/>
    <mergeCell ref="D755:D756"/>
    <mergeCell ref="E755:E756"/>
    <mergeCell ref="B757:B758"/>
    <mergeCell ref="C757:C758"/>
    <mergeCell ref="D765:D766"/>
    <mergeCell ref="E765:E766"/>
    <mergeCell ref="B759:B760"/>
    <mergeCell ref="C759:C760"/>
    <mergeCell ref="D759:D760"/>
    <mergeCell ref="E759:E760"/>
    <mergeCell ref="C761:C762"/>
    <mergeCell ref="D761:D762"/>
    <mergeCell ref="E761:E762"/>
    <mergeCell ref="B761:B762"/>
    <mergeCell ref="B763:B764"/>
    <mergeCell ref="C763:C764"/>
    <mergeCell ref="D763:D764"/>
    <mergeCell ref="E763:E764"/>
    <mergeCell ref="B765:B766"/>
    <mergeCell ref="C765:C766"/>
    <mergeCell ref="D769:D770"/>
    <mergeCell ref="E769:E770"/>
    <mergeCell ref="B767:B768"/>
    <mergeCell ref="C767:C768"/>
    <mergeCell ref="D767:D768"/>
    <mergeCell ref="E767:E768"/>
    <mergeCell ref="F767:F768"/>
    <mergeCell ref="C769:C770"/>
    <mergeCell ref="F769:F770"/>
    <mergeCell ref="B769:B770"/>
    <mergeCell ref="B771:B772"/>
    <mergeCell ref="C771:C772"/>
    <mergeCell ref="D771:D772"/>
    <mergeCell ref="E771:E772"/>
    <mergeCell ref="F771:F772"/>
    <mergeCell ref="B773:B774"/>
    <mergeCell ref="E773:E774"/>
    <mergeCell ref="C777:C778"/>
    <mergeCell ref="D777:D778"/>
    <mergeCell ref="D781:D782"/>
    <mergeCell ref="E781:E782"/>
    <mergeCell ref="B788:B789"/>
    <mergeCell ref="C788:C789"/>
    <mergeCell ref="D788:D789"/>
    <mergeCell ref="E788:E789"/>
    <mergeCell ref="F788:F789"/>
    <mergeCell ref="C790:C791"/>
    <mergeCell ref="F790:F791"/>
    <mergeCell ref="B790:B791"/>
    <mergeCell ref="B792:B793"/>
    <mergeCell ref="C792:C793"/>
    <mergeCell ref="D792:D793"/>
    <mergeCell ref="E792:E793"/>
    <mergeCell ref="B794:B795"/>
    <mergeCell ref="C794:C795"/>
    <mergeCell ref="D798:D799"/>
    <mergeCell ref="E798:E799"/>
    <mergeCell ref="B796:B797"/>
    <mergeCell ref="C796:C797"/>
    <mergeCell ref="D796:D797"/>
    <mergeCell ref="E796:E797"/>
    <mergeCell ref="F796:F797"/>
    <mergeCell ref="C798:C799"/>
    <mergeCell ref="F798:F799"/>
    <mergeCell ref="D790:D791"/>
    <mergeCell ref="E790:E791"/>
    <mergeCell ref="D794:D795"/>
    <mergeCell ref="E794:E795"/>
    <mergeCell ref="F794:F795"/>
    <mergeCell ref="D802:D803"/>
    <mergeCell ref="E802:E803"/>
    <mergeCell ref="B798:B799"/>
    <mergeCell ref="B800:B801"/>
    <mergeCell ref="C800:C801"/>
    <mergeCell ref="D800:D801"/>
    <mergeCell ref="E800:E801"/>
    <mergeCell ref="B802:B803"/>
    <mergeCell ref="C802:C803"/>
    <mergeCell ref="C773:C774"/>
    <mergeCell ref="D773:D774"/>
    <mergeCell ref="B775:B776"/>
    <mergeCell ref="C775:C776"/>
    <mergeCell ref="D775:D776"/>
    <mergeCell ref="E775:E776"/>
    <mergeCell ref="E777:E778"/>
    <mergeCell ref="B777:B778"/>
    <mergeCell ref="B779:B780"/>
    <mergeCell ref="C779:C780"/>
    <mergeCell ref="D779:D780"/>
    <mergeCell ref="E779:E780"/>
    <mergeCell ref="C781:C782"/>
    <mergeCell ref="A783:D783"/>
    <mergeCell ref="D786:D787"/>
    <mergeCell ref="E786:E787"/>
    <mergeCell ref="B781:B782"/>
    <mergeCell ref="B784:B785"/>
    <mergeCell ref="C784:C785"/>
    <mergeCell ref="D784:D785"/>
    <mergeCell ref="E784:E785"/>
    <mergeCell ref="B786:B787"/>
    <mergeCell ref="C786:C787"/>
    <mergeCell ref="D810:D811"/>
    <mergeCell ref="E810:E811"/>
    <mergeCell ref="B828:B829"/>
    <mergeCell ref="C828:C829"/>
    <mergeCell ref="D828:D829"/>
    <mergeCell ref="E828:E829"/>
    <mergeCell ref="B830:B831"/>
    <mergeCell ref="C830:C831"/>
    <mergeCell ref="E830:E831"/>
    <mergeCell ref="D830:D831"/>
    <mergeCell ref="A832:D832"/>
    <mergeCell ref="B833:B834"/>
    <mergeCell ref="C833:C834"/>
    <mergeCell ref="D833:D834"/>
    <mergeCell ref="E833:E834"/>
    <mergeCell ref="B835:B836"/>
    <mergeCell ref="E835:E836"/>
    <mergeCell ref="C814:C815"/>
    <mergeCell ref="D814:D815"/>
    <mergeCell ref="E814:E815"/>
    <mergeCell ref="D818:D819"/>
    <mergeCell ref="E818:E819"/>
    <mergeCell ref="B814:B815"/>
    <mergeCell ref="B816:B817"/>
    <mergeCell ref="C816:C817"/>
    <mergeCell ref="D816:D817"/>
    <mergeCell ref="E816:E817"/>
    <mergeCell ref="B818:B819"/>
    <mergeCell ref="C818:C819"/>
    <mergeCell ref="C835:C836"/>
    <mergeCell ref="D835:D836"/>
    <mergeCell ref="B837:B838"/>
    <mergeCell ref="C837:C838"/>
    <mergeCell ref="D837:D838"/>
    <mergeCell ref="E837:E838"/>
    <mergeCell ref="E839:E840"/>
    <mergeCell ref="B820:B821"/>
    <mergeCell ref="C820:C821"/>
    <mergeCell ref="D820:D821"/>
    <mergeCell ref="E820:E821"/>
    <mergeCell ref="C822:C823"/>
    <mergeCell ref="D822:D823"/>
    <mergeCell ref="E822:E823"/>
    <mergeCell ref="B822:B823"/>
    <mergeCell ref="B824:B825"/>
    <mergeCell ref="C824:C825"/>
    <mergeCell ref="D824:D825"/>
    <mergeCell ref="E824:E825"/>
    <mergeCell ref="B826:B827"/>
    <mergeCell ref="C826:C827"/>
    <mergeCell ref="D826:D827"/>
    <mergeCell ref="E826:E827"/>
    <mergeCell ref="B859:B860"/>
    <mergeCell ref="B861:B862"/>
    <mergeCell ref="C861:C862"/>
    <mergeCell ref="D861:D862"/>
    <mergeCell ref="E861:E862"/>
    <mergeCell ref="C859:C860"/>
    <mergeCell ref="D859:D860"/>
    <mergeCell ref="B857:B858"/>
    <mergeCell ref="C857:C858"/>
    <mergeCell ref="D857:D858"/>
    <mergeCell ref="E857:E858"/>
    <mergeCell ref="E859:E860"/>
    <mergeCell ref="B804:B805"/>
    <mergeCell ref="C804:C805"/>
    <mergeCell ref="D804:D805"/>
    <mergeCell ref="E804:E805"/>
    <mergeCell ref="C806:C807"/>
    <mergeCell ref="D806:D807"/>
    <mergeCell ref="E806:E807"/>
    <mergeCell ref="B806:B807"/>
    <mergeCell ref="B808:B809"/>
    <mergeCell ref="C808:C809"/>
    <mergeCell ref="D808:D809"/>
    <mergeCell ref="E808:E809"/>
    <mergeCell ref="B810:B811"/>
    <mergeCell ref="C810:C811"/>
    <mergeCell ref="B812:B813"/>
    <mergeCell ref="C812:C813"/>
    <mergeCell ref="D812:D813"/>
    <mergeCell ref="E812:E813"/>
    <mergeCell ref="C839:C840"/>
    <mergeCell ref="D839:D840"/>
    <mergeCell ref="B863:B864"/>
    <mergeCell ref="C863:C864"/>
    <mergeCell ref="F869:F870"/>
    <mergeCell ref="F871:F872"/>
    <mergeCell ref="F873:F874"/>
    <mergeCell ref="B865:B866"/>
    <mergeCell ref="C865:C866"/>
    <mergeCell ref="D865:D866"/>
    <mergeCell ref="E865:E866"/>
    <mergeCell ref="C867:C868"/>
    <mergeCell ref="D867:D868"/>
    <mergeCell ref="E867:E868"/>
    <mergeCell ref="D871:D872"/>
    <mergeCell ref="E871:E872"/>
    <mergeCell ref="B867:B868"/>
    <mergeCell ref="B869:B870"/>
    <mergeCell ref="C869:C870"/>
    <mergeCell ref="D869:D870"/>
    <mergeCell ref="E869:E870"/>
    <mergeCell ref="B871:B872"/>
    <mergeCell ref="C871:C872"/>
    <mergeCell ref="D863:D864"/>
    <mergeCell ref="E863:E864"/>
    <mergeCell ref="D843:D844"/>
    <mergeCell ref="E843:E844"/>
    <mergeCell ref="B839:B840"/>
    <mergeCell ref="B841:B842"/>
    <mergeCell ref="C841:C842"/>
    <mergeCell ref="D841:D842"/>
    <mergeCell ref="E841:E842"/>
    <mergeCell ref="B843:B844"/>
    <mergeCell ref="C843:C844"/>
    <mergeCell ref="A851:E851"/>
    <mergeCell ref="A852:D852"/>
    <mergeCell ref="B853:B854"/>
    <mergeCell ref="C853:C854"/>
    <mergeCell ref="D853:D854"/>
    <mergeCell ref="E853:E854"/>
    <mergeCell ref="B855:B856"/>
    <mergeCell ref="E855:E856"/>
    <mergeCell ref="C855:C856"/>
    <mergeCell ref="D855:D856"/>
    <mergeCell ref="B847:B848"/>
    <mergeCell ref="B849:B850"/>
    <mergeCell ref="C849:C850"/>
    <mergeCell ref="D849:D850"/>
    <mergeCell ref="E849:E850"/>
    <mergeCell ref="B845:B846"/>
    <mergeCell ref="C845:C846"/>
    <mergeCell ref="D845:D846"/>
    <mergeCell ref="E845:E846"/>
    <mergeCell ref="C847:C848"/>
    <mergeCell ref="D847:D848"/>
    <mergeCell ref="E847:E848"/>
    <mergeCell ref="D879:D880"/>
    <mergeCell ref="E879:E880"/>
    <mergeCell ref="B873:B874"/>
    <mergeCell ref="C873:C874"/>
    <mergeCell ref="D873:D874"/>
    <mergeCell ref="E873:E874"/>
    <mergeCell ref="C875:C876"/>
    <mergeCell ref="D875:D876"/>
    <mergeCell ref="E875:E876"/>
    <mergeCell ref="B875:B876"/>
    <mergeCell ref="B877:B878"/>
    <mergeCell ref="C877:C878"/>
    <mergeCell ref="D877:D878"/>
    <mergeCell ref="E877:E878"/>
    <mergeCell ref="B879:B880"/>
    <mergeCell ref="C879:C880"/>
    <mergeCell ref="B881:B882"/>
    <mergeCell ref="C881:C882"/>
    <mergeCell ref="D881:D882"/>
    <mergeCell ref="E881:E882"/>
    <mergeCell ref="C883:C884"/>
    <mergeCell ref="D883:D884"/>
    <mergeCell ref="E883:E884"/>
    <mergeCell ref="D887:D888"/>
    <mergeCell ref="E887:E888"/>
    <mergeCell ref="B883:B884"/>
    <mergeCell ref="B885:B886"/>
    <mergeCell ref="C885:C886"/>
    <mergeCell ref="D885:D886"/>
    <mergeCell ref="E885:E886"/>
    <mergeCell ref="B887:B888"/>
    <mergeCell ref="C887:C888"/>
    <mergeCell ref="B889:B890"/>
    <mergeCell ref="C889:C890"/>
    <mergeCell ref="D889:D890"/>
    <mergeCell ref="E889:E890"/>
    <mergeCell ref="C891:C892"/>
    <mergeCell ref="D891:D892"/>
    <mergeCell ref="E891:E892"/>
    <mergeCell ref="B891:B892"/>
    <mergeCell ref="B893:B894"/>
    <mergeCell ref="C893:C894"/>
    <mergeCell ref="D893:D894"/>
    <mergeCell ref="E893:E894"/>
    <mergeCell ref="F893:F894"/>
    <mergeCell ref="B895:B896"/>
    <mergeCell ref="E895:E896"/>
    <mergeCell ref="D921:D922"/>
    <mergeCell ref="E921:E922"/>
    <mergeCell ref="B916:B917"/>
    <mergeCell ref="B919:B920"/>
    <mergeCell ref="C919:C920"/>
    <mergeCell ref="D919:D920"/>
    <mergeCell ref="E919:E920"/>
    <mergeCell ref="B921:B922"/>
    <mergeCell ref="C921:C922"/>
    <mergeCell ref="C992:C993"/>
    <mergeCell ref="D992:D993"/>
    <mergeCell ref="F990:F991"/>
    <mergeCell ref="B992:B993"/>
    <mergeCell ref="E992:E993"/>
    <mergeCell ref="D900:D901"/>
    <mergeCell ref="E900:E901"/>
    <mergeCell ref="C895:C896"/>
    <mergeCell ref="D895:D896"/>
    <mergeCell ref="A897:E897"/>
    <mergeCell ref="A898:D898"/>
    <mergeCell ref="A899:D899"/>
    <mergeCell ref="B900:B901"/>
    <mergeCell ref="C900:C901"/>
    <mergeCell ref="B902:B903"/>
    <mergeCell ref="C902:C903"/>
    <mergeCell ref="B994:B995"/>
    <mergeCell ref="C994:C995"/>
    <mergeCell ref="D994:D995"/>
    <mergeCell ref="E994:E995"/>
    <mergeCell ref="E996:E997"/>
    <mergeCell ref="B996:B997"/>
    <mergeCell ref="B998:B999"/>
    <mergeCell ref="C998:C999"/>
    <mergeCell ref="D998:D999"/>
    <mergeCell ref="E998:E999"/>
    <mergeCell ref="B1000:B1001"/>
    <mergeCell ref="C1000:C1001"/>
    <mergeCell ref="B1002:B1003"/>
    <mergeCell ref="C1002:C1003"/>
    <mergeCell ref="D1002:D1003"/>
    <mergeCell ref="E1002:E1003"/>
    <mergeCell ref="C1004:C1005"/>
    <mergeCell ref="D1004:D1005"/>
    <mergeCell ref="E1004:E1005"/>
    <mergeCell ref="B1004:B1005"/>
    <mergeCell ref="C996:C997"/>
    <mergeCell ref="D996:D997"/>
    <mergeCell ref="D1000:D1001"/>
    <mergeCell ref="E1000:E1001"/>
    <mergeCell ref="B1006:B1007"/>
    <mergeCell ref="C1006:C1007"/>
    <mergeCell ref="D1006:D1007"/>
    <mergeCell ref="E1006:E1007"/>
    <mergeCell ref="B1008:B1009"/>
    <mergeCell ref="C1008:C1009"/>
    <mergeCell ref="B975:B976"/>
    <mergeCell ref="C975:C976"/>
    <mergeCell ref="D975:D976"/>
    <mergeCell ref="E975:E976"/>
    <mergeCell ref="C977:C978"/>
    <mergeCell ref="D977:D978"/>
    <mergeCell ref="E977:E978"/>
    <mergeCell ref="B977:B978"/>
    <mergeCell ref="B979:B980"/>
    <mergeCell ref="C979:C980"/>
    <mergeCell ref="D979:D980"/>
    <mergeCell ref="E979:E980"/>
    <mergeCell ref="B981:B982"/>
    <mergeCell ref="C981:C982"/>
    <mergeCell ref="A983:E983"/>
    <mergeCell ref="B984:E984"/>
    <mergeCell ref="B985:C985"/>
    <mergeCell ref="D985:E985"/>
    <mergeCell ref="B986:E986"/>
    <mergeCell ref="A987:F987"/>
    <mergeCell ref="A988:F988"/>
    <mergeCell ref="A989:D989"/>
    <mergeCell ref="B990:B991"/>
    <mergeCell ref="C990:C991"/>
    <mergeCell ref="D990:D991"/>
    <mergeCell ref="E990:E991"/>
    <mergeCell ref="A1014:E1014"/>
    <mergeCell ref="A1015:D1015"/>
    <mergeCell ref="C1016:D1016"/>
    <mergeCell ref="D1008:D1009"/>
    <mergeCell ref="E1008:E1009"/>
    <mergeCell ref="A1010:E1010"/>
    <mergeCell ref="B1011:E1011"/>
    <mergeCell ref="B1012:C1012"/>
    <mergeCell ref="D1012:E1012"/>
    <mergeCell ref="B1013:E1013"/>
    <mergeCell ref="B910:B911"/>
    <mergeCell ref="C910:C911"/>
    <mergeCell ref="D910:D911"/>
    <mergeCell ref="E910:E911"/>
    <mergeCell ref="C912:C913"/>
    <mergeCell ref="D912:D913"/>
    <mergeCell ref="E912:E913"/>
    <mergeCell ref="B912:B913"/>
    <mergeCell ref="B914:B915"/>
    <mergeCell ref="C914:C915"/>
    <mergeCell ref="D914:D915"/>
    <mergeCell ref="E914:E915"/>
    <mergeCell ref="C916:C917"/>
    <mergeCell ref="A918:D918"/>
    <mergeCell ref="D945:D946"/>
    <mergeCell ref="E945:E946"/>
    <mergeCell ref="B943:B944"/>
    <mergeCell ref="C943:C944"/>
    <mergeCell ref="D943:D944"/>
    <mergeCell ref="E943:E944"/>
    <mergeCell ref="D933:D934"/>
    <mergeCell ref="E933:E934"/>
    <mergeCell ref="D902:D903"/>
    <mergeCell ref="E902:E903"/>
    <mergeCell ref="C904:C905"/>
    <mergeCell ref="D904:D905"/>
    <mergeCell ref="E904:E905"/>
    <mergeCell ref="D908:D909"/>
    <mergeCell ref="E908:E909"/>
    <mergeCell ref="B904:B905"/>
    <mergeCell ref="B906:B907"/>
    <mergeCell ref="C906:C907"/>
    <mergeCell ref="D906:D907"/>
    <mergeCell ref="E906:E907"/>
    <mergeCell ref="B908:B909"/>
    <mergeCell ref="C908:C909"/>
    <mergeCell ref="D916:D917"/>
    <mergeCell ref="E916:E917"/>
    <mergeCell ref="D929:D930"/>
    <mergeCell ref="E929:E930"/>
    <mergeCell ref="B923:B924"/>
    <mergeCell ref="C923:C924"/>
    <mergeCell ref="D923:D924"/>
    <mergeCell ref="E923:E924"/>
    <mergeCell ref="C925:C926"/>
    <mergeCell ref="D925:D926"/>
    <mergeCell ref="E925:E926"/>
    <mergeCell ref="B925:B926"/>
    <mergeCell ref="B927:B928"/>
    <mergeCell ref="C927:C928"/>
    <mergeCell ref="D927:D928"/>
    <mergeCell ref="E927:E928"/>
    <mergeCell ref="B929:B930"/>
    <mergeCell ref="C929:C930"/>
    <mergeCell ref="B931:B932"/>
    <mergeCell ref="C931:C932"/>
    <mergeCell ref="D931:D932"/>
    <mergeCell ref="E931:E932"/>
    <mergeCell ref="A935:E935"/>
    <mergeCell ref="A936:D936"/>
    <mergeCell ref="C937:C938"/>
    <mergeCell ref="D937:D938"/>
    <mergeCell ref="E937:E938"/>
    <mergeCell ref="F937:F938"/>
    <mergeCell ref="D941:D942"/>
    <mergeCell ref="E941:E942"/>
    <mergeCell ref="B937:B938"/>
    <mergeCell ref="B939:B940"/>
    <mergeCell ref="C939:C940"/>
    <mergeCell ref="D939:D940"/>
    <mergeCell ref="E939:E940"/>
    <mergeCell ref="B941:B942"/>
    <mergeCell ref="C941:C942"/>
    <mergeCell ref="B933:B934"/>
    <mergeCell ref="C933:C934"/>
    <mergeCell ref="D957:D958"/>
    <mergeCell ref="E957:E958"/>
    <mergeCell ref="F943:F944"/>
    <mergeCell ref="C945:C946"/>
    <mergeCell ref="F945:F946"/>
    <mergeCell ref="D949:D950"/>
    <mergeCell ref="E949:E950"/>
    <mergeCell ref="B945:B946"/>
    <mergeCell ref="B947:B948"/>
    <mergeCell ref="C947:C948"/>
    <mergeCell ref="D947:D948"/>
    <mergeCell ref="E947:E948"/>
    <mergeCell ref="B949:B950"/>
    <mergeCell ref="C949:C950"/>
    <mergeCell ref="B967:B968"/>
    <mergeCell ref="C967:C968"/>
    <mergeCell ref="D967:D968"/>
    <mergeCell ref="E967:E968"/>
    <mergeCell ref="E965:E966"/>
    <mergeCell ref="B961:B962"/>
    <mergeCell ref="B963:B964"/>
    <mergeCell ref="C963:C964"/>
    <mergeCell ref="D963:D964"/>
    <mergeCell ref="E963:E964"/>
    <mergeCell ref="B965:B966"/>
    <mergeCell ref="C965:C966"/>
    <mergeCell ref="C969:C970"/>
    <mergeCell ref="D969:D970"/>
    <mergeCell ref="E969:E970"/>
    <mergeCell ref="B969:B970"/>
    <mergeCell ref="B971:B972"/>
    <mergeCell ref="C971:C972"/>
    <mergeCell ref="D971:D972"/>
    <mergeCell ref="E971:E972"/>
    <mergeCell ref="B973:B974"/>
    <mergeCell ref="C973:C974"/>
    <mergeCell ref="B951:B952"/>
    <mergeCell ref="C951:C952"/>
    <mergeCell ref="D951:D952"/>
    <mergeCell ref="E951:E952"/>
    <mergeCell ref="C953:C954"/>
    <mergeCell ref="D953:D954"/>
    <mergeCell ref="E953:E954"/>
    <mergeCell ref="B953:B954"/>
    <mergeCell ref="B955:B956"/>
    <mergeCell ref="C955:C956"/>
    <mergeCell ref="D955:D956"/>
    <mergeCell ref="E955:E956"/>
    <mergeCell ref="B957:B958"/>
    <mergeCell ref="C957:C958"/>
    <mergeCell ref="B959:B960"/>
    <mergeCell ref="C959:C960"/>
    <mergeCell ref="D959:D960"/>
    <mergeCell ref="E959:E960"/>
    <mergeCell ref="C961:C962"/>
    <mergeCell ref="D961:D962"/>
    <mergeCell ref="E961:E962"/>
    <mergeCell ref="D965:D966"/>
    <mergeCell ref="D973:D974"/>
    <mergeCell ref="E973:E974"/>
    <mergeCell ref="D981:D982"/>
    <mergeCell ref="E981:E982"/>
    <mergeCell ref="B114:B115"/>
    <mergeCell ref="C114:C115"/>
    <mergeCell ref="D114:D115"/>
    <mergeCell ref="E114:E115"/>
    <mergeCell ref="A130:E130"/>
    <mergeCell ref="A131:D131"/>
    <mergeCell ref="B132:B133"/>
    <mergeCell ref="C132:C133"/>
    <mergeCell ref="D132:D133"/>
    <mergeCell ref="E132:E133"/>
    <mergeCell ref="D158:D159"/>
    <mergeCell ref="E158:E159"/>
    <mergeCell ref="B156:B157"/>
    <mergeCell ref="C156:C157"/>
    <mergeCell ref="D156:D157"/>
    <mergeCell ref="E156:E157"/>
    <mergeCell ref="C164:C165"/>
    <mergeCell ref="D164:D165"/>
    <mergeCell ref="E164:E165"/>
    <mergeCell ref="C166:C167"/>
    <mergeCell ref="D166:D167"/>
    <mergeCell ref="E166:E167"/>
    <mergeCell ref="B166:B167"/>
    <mergeCell ref="B168:B169"/>
    <mergeCell ref="C168:C169"/>
    <mergeCell ref="D168:D169"/>
    <mergeCell ref="E168:E169"/>
    <mergeCell ref="B170:B171"/>
    <mergeCell ref="E118:E119"/>
    <mergeCell ref="B120:B121"/>
    <mergeCell ref="C120:C121"/>
    <mergeCell ref="E108:E109"/>
    <mergeCell ref="F108:F109"/>
    <mergeCell ref="B104:B105"/>
    <mergeCell ref="B106:B107"/>
    <mergeCell ref="C106:C107"/>
    <mergeCell ref="D106:D107"/>
    <mergeCell ref="E106:E107"/>
    <mergeCell ref="F106:F107"/>
    <mergeCell ref="B108:B109"/>
    <mergeCell ref="E112:E113"/>
    <mergeCell ref="F112:F113"/>
    <mergeCell ref="B110:B111"/>
    <mergeCell ref="C110:C111"/>
    <mergeCell ref="D110:D111"/>
    <mergeCell ref="E110:E111"/>
    <mergeCell ref="B112:B113"/>
    <mergeCell ref="C112:C113"/>
    <mergeCell ref="D112:D113"/>
    <mergeCell ref="D116:D117"/>
    <mergeCell ref="E116:E117"/>
    <mergeCell ref="D120:D121"/>
    <mergeCell ref="E120:E121"/>
    <mergeCell ref="B128:B129"/>
    <mergeCell ref="C128:C129"/>
    <mergeCell ref="D128:D129"/>
    <mergeCell ref="E128:E129"/>
    <mergeCell ref="F128:F129"/>
    <mergeCell ref="C10:C11"/>
    <mergeCell ref="D10:D11"/>
    <mergeCell ref="F10:F11"/>
    <mergeCell ref="A3:A6"/>
    <mergeCell ref="B3:B6"/>
    <mergeCell ref="C3:E3"/>
    <mergeCell ref="A7:E7"/>
    <mergeCell ref="A8:E8"/>
    <mergeCell ref="A9:D9"/>
    <mergeCell ref="E10:E11"/>
    <mergeCell ref="D14:D15"/>
    <mergeCell ref="E14:E15"/>
    <mergeCell ref="F14:F15"/>
    <mergeCell ref="B10:B11"/>
    <mergeCell ref="B12:B13"/>
    <mergeCell ref="C12:C13"/>
    <mergeCell ref="D12:D13"/>
    <mergeCell ref="E12:E13"/>
    <mergeCell ref="B14:B15"/>
    <mergeCell ref="C14:C15"/>
    <mergeCell ref="B16:B17"/>
    <mergeCell ref="C16:C17"/>
    <mergeCell ref="D16:D17"/>
    <mergeCell ref="E16:E17"/>
    <mergeCell ref="F16:F17"/>
    <mergeCell ref="F114:F115"/>
    <mergeCell ref="C116:C117"/>
    <mergeCell ref="A18:E18"/>
    <mergeCell ref="A19:D19"/>
    <mergeCell ref="D22:D23"/>
    <mergeCell ref="E22:E23"/>
    <mergeCell ref="C30:C31"/>
    <mergeCell ref="D30:D31"/>
    <mergeCell ref="B20:B21"/>
    <mergeCell ref="C20:C21"/>
    <mergeCell ref="D20:D21"/>
    <mergeCell ref="E20:E21"/>
    <mergeCell ref="F20:F21"/>
    <mergeCell ref="C22:C23"/>
    <mergeCell ref="F22:F23"/>
    <mergeCell ref="B22:B23"/>
    <mergeCell ref="B24:B25"/>
    <mergeCell ref="C24:C25"/>
    <mergeCell ref="D24:D25"/>
    <mergeCell ref="E24:E25"/>
    <mergeCell ref="F24:F25"/>
    <mergeCell ref="E30:E31"/>
    <mergeCell ref="D34:D35"/>
    <mergeCell ref="E34:E35"/>
    <mergeCell ref="B30:B31"/>
    <mergeCell ref="B32:B33"/>
    <mergeCell ref="C32:C33"/>
    <mergeCell ref="D32:D33"/>
    <mergeCell ref="E32:E33"/>
    <mergeCell ref="B34:B35"/>
    <mergeCell ref="C34:C35"/>
    <mergeCell ref="B36:B37"/>
    <mergeCell ref="C36:C37"/>
    <mergeCell ref="D36:D37"/>
    <mergeCell ref="E36:E37"/>
    <mergeCell ref="C38:C39"/>
    <mergeCell ref="D38:D39"/>
    <mergeCell ref="E38:E39"/>
    <mergeCell ref="D42:D43"/>
    <mergeCell ref="E42:E43"/>
    <mergeCell ref="B38:B39"/>
    <mergeCell ref="B40:B41"/>
    <mergeCell ref="C40:C41"/>
    <mergeCell ref="D40:D41"/>
    <mergeCell ref="E40:E41"/>
    <mergeCell ref="B42:B43"/>
    <mergeCell ref="C42:C43"/>
    <mergeCell ref="B44:B45"/>
    <mergeCell ref="C44:C45"/>
    <mergeCell ref="D44:D45"/>
    <mergeCell ref="E44:E45"/>
    <mergeCell ref="F44:F45"/>
    <mergeCell ref="A46:E46"/>
    <mergeCell ref="A47:D47"/>
    <mergeCell ref="D50:D51"/>
    <mergeCell ref="E50:E51"/>
    <mergeCell ref="B48:B49"/>
    <mergeCell ref="C48:C49"/>
    <mergeCell ref="D48:D49"/>
    <mergeCell ref="E48:E49"/>
    <mergeCell ref="F49:F51"/>
    <mergeCell ref="B50:B51"/>
    <mergeCell ref="C50:C51"/>
    <mergeCell ref="D54:D55"/>
    <mergeCell ref="E54:E55"/>
    <mergeCell ref="B52:B53"/>
    <mergeCell ref="C52:C53"/>
    <mergeCell ref="D52:D53"/>
    <mergeCell ref="E52:E53"/>
    <mergeCell ref="F52:F55"/>
    <mergeCell ref="B54:B55"/>
    <mergeCell ref="C54:C55"/>
    <mergeCell ref="B56:B57"/>
    <mergeCell ref="C56:C57"/>
    <mergeCell ref="D56:D57"/>
    <mergeCell ref="E56:E57"/>
    <mergeCell ref="B58:B59"/>
    <mergeCell ref="C58:C59"/>
    <mergeCell ref="D58:D59"/>
    <mergeCell ref="E58:E59"/>
    <mergeCell ref="A60:E60"/>
    <mergeCell ref="A61:D61"/>
    <mergeCell ref="B62:B63"/>
    <mergeCell ref="C62:C63"/>
    <mergeCell ref="D62:D63"/>
    <mergeCell ref="E62:E63"/>
    <mergeCell ref="B64:B65"/>
    <mergeCell ref="C64:C65"/>
    <mergeCell ref="D64:D65"/>
    <mergeCell ref="E64:E65"/>
    <mergeCell ref="C66:C67"/>
    <mergeCell ref="D66:D67"/>
    <mergeCell ref="E66:E67"/>
    <mergeCell ref="D70:D71"/>
    <mergeCell ref="E70:E71"/>
    <mergeCell ref="B66:B67"/>
    <mergeCell ref="B68:B69"/>
    <mergeCell ref="C68:C69"/>
    <mergeCell ref="D68:D69"/>
    <mergeCell ref="E68:E69"/>
    <mergeCell ref="B70:B71"/>
    <mergeCell ref="C70:C71"/>
    <mergeCell ref="D74:D75"/>
    <mergeCell ref="E74:E75"/>
    <mergeCell ref="B72:B73"/>
    <mergeCell ref="C72:C73"/>
    <mergeCell ref="D72:D73"/>
    <mergeCell ref="E72:E73"/>
    <mergeCell ref="E94:E95"/>
    <mergeCell ref="F94:F95"/>
    <mergeCell ref="B92:B93"/>
    <mergeCell ref="C92:C93"/>
    <mergeCell ref="D92:D93"/>
    <mergeCell ref="E92:E93"/>
    <mergeCell ref="B94:B95"/>
    <mergeCell ref="C94:C95"/>
    <mergeCell ref="D94:D95"/>
    <mergeCell ref="A96:E96"/>
    <mergeCell ref="A97:D97"/>
    <mergeCell ref="B98:B99"/>
    <mergeCell ref="C98:C99"/>
    <mergeCell ref="F72:F75"/>
    <mergeCell ref="B74:B75"/>
    <mergeCell ref="C74:C75"/>
    <mergeCell ref="B76:B77"/>
    <mergeCell ref="C76:C77"/>
    <mergeCell ref="D76:D77"/>
    <mergeCell ref="E76:E77"/>
    <mergeCell ref="A78:E78"/>
    <mergeCell ref="A79:D79"/>
    <mergeCell ref="B80:B81"/>
    <mergeCell ref="E80:E81"/>
    <mergeCell ref="C80:C81"/>
    <mergeCell ref="D80:D81"/>
    <mergeCell ref="B82:B83"/>
    <mergeCell ref="C82:C83"/>
    <mergeCell ref="D82:D83"/>
    <mergeCell ref="E82:E83"/>
    <mergeCell ref="F82:F83"/>
    <mergeCell ref="E86:E87"/>
    <mergeCell ref="F86:F87"/>
    <mergeCell ref="F88:F91"/>
    <mergeCell ref="E90:E91"/>
    <mergeCell ref="B84:B85"/>
    <mergeCell ref="C84:C85"/>
    <mergeCell ref="D84:D85"/>
    <mergeCell ref="E84:E85"/>
    <mergeCell ref="B86:B87"/>
    <mergeCell ref="C86:C87"/>
    <mergeCell ref="D86:D87"/>
    <mergeCell ref="B88:B89"/>
    <mergeCell ref="C88:C89"/>
    <mergeCell ref="D88:D89"/>
    <mergeCell ref="E88:E89"/>
    <mergeCell ref="B90:B91"/>
    <mergeCell ref="C90:C91"/>
    <mergeCell ref="D90:D91"/>
    <mergeCell ref="D98:D99"/>
    <mergeCell ref="E98:E99"/>
    <mergeCell ref="B100:B101"/>
    <mergeCell ref="E100:E101"/>
    <mergeCell ref="C108:C109"/>
    <mergeCell ref="D108:D109"/>
    <mergeCell ref="C126:C127"/>
    <mergeCell ref="D126:D127"/>
    <mergeCell ref="F126:F127"/>
    <mergeCell ref="B122:B123"/>
    <mergeCell ref="C122:C123"/>
    <mergeCell ref="D122:D123"/>
    <mergeCell ref="E122:E123"/>
    <mergeCell ref="A124:E124"/>
    <mergeCell ref="A125:D125"/>
    <mergeCell ref="E126:E127"/>
    <mergeCell ref="C104:C105"/>
    <mergeCell ref="D104:D105"/>
    <mergeCell ref="C100:C101"/>
    <mergeCell ref="D100:D101"/>
    <mergeCell ref="B102:B103"/>
    <mergeCell ref="C102:C103"/>
    <mergeCell ref="D102:D103"/>
    <mergeCell ref="E102:E103"/>
    <mergeCell ref="E104:E105"/>
    <mergeCell ref="F120:F121"/>
    <mergeCell ref="B126:B127"/>
    <mergeCell ref="F116:F117"/>
    <mergeCell ref="B116:B117"/>
    <mergeCell ref="B118:B119"/>
    <mergeCell ref="C118:C119"/>
    <mergeCell ref="D118:D119"/>
    <mergeCell ref="F132:F133"/>
    <mergeCell ref="E136:E137"/>
    <mergeCell ref="F136:F137"/>
    <mergeCell ref="B134:B135"/>
    <mergeCell ref="C134:C135"/>
    <mergeCell ref="D134:D135"/>
    <mergeCell ref="E134:E135"/>
    <mergeCell ref="B136:B137"/>
    <mergeCell ref="C136:C137"/>
    <mergeCell ref="D136:D137"/>
    <mergeCell ref="E140:E141"/>
    <mergeCell ref="F140:F141"/>
    <mergeCell ref="B138:B139"/>
    <mergeCell ref="C138:C139"/>
    <mergeCell ref="D138:D139"/>
    <mergeCell ref="E138:E139"/>
    <mergeCell ref="B140:B141"/>
    <mergeCell ref="C140:C141"/>
    <mergeCell ref="D140:D141"/>
    <mergeCell ref="C170:C171"/>
    <mergeCell ref="E174:E175"/>
    <mergeCell ref="F174:F175"/>
    <mergeCell ref="D170:D171"/>
    <mergeCell ref="E170:E171"/>
    <mergeCell ref="A172:E172"/>
    <mergeCell ref="A173:D173"/>
    <mergeCell ref="B174:B175"/>
    <mergeCell ref="C174:C175"/>
    <mergeCell ref="D174:D175"/>
    <mergeCell ref="C146:C147"/>
    <mergeCell ref="D146:D147"/>
    <mergeCell ref="F146:F147"/>
    <mergeCell ref="F152:F153"/>
    <mergeCell ref="F156:F157"/>
    <mergeCell ref="B158:B159"/>
    <mergeCell ref="C158:C159"/>
    <mergeCell ref="D162:D163"/>
    <mergeCell ref="E162:E163"/>
    <mergeCell ref="B160:B161"/>
    <mergeCell ref="C160:C161"/>
    <mergeCell ref="D160:D161"/>
    <mergeCell ref="E160:E161"/>
    <mergeCell ref="F160:F161"/>
    <mergeCell ref="B162:B163"/>
    <mergeCell ref="C162:C163"/>
    <mergeCell ref="B164:B165"/>
    <mergeCell ref="B142:B143"/>
    <mergeCell ref="C142:C143"/>
    <mergeCell ref="D142:D143"/>
    <mergeCell ref="E142:E143"/>
    <mergeCell ref="A144:E144"/>
    <mergeCell ref="A145:D145"/>
    <mergeCell ref="E146:E147"/>
    <mergeCell ref="D150:D151"/>
    <mergeCell ref="E150:E151"/>
    <mergeCell ref="B146:B147"/>
    <mergeCell ref="B148:B149"/>
    <mergeCell ref="C148:C149"/>
    <mergeCell ref="D148:D149"/>
    <mergeCell ref="E148:E149"/>
    <mergeCell ref="B150:B151"/>
    <mergeCell ref="C150:C151"/>
    <mergeCell ref="D154:D155"/>
    <mergeCell ref="E154:E155"/>
    <mergeCell ref="B152:B153"/>
    <mergeCell ref="C152:C153"/>
    <mergeCell ref="D152:D153"/>
    <mergeCell ref="E152:E153"/>
    <mergeCell ref="B154:B155"/>
    <mergeCell ref="C154:C155"/>
    <mergeCell ref="F202:F203"/>
    <mergeCell ref="C196:C197"/>
    <mergeCell ref="D196:D197"/>
    <mergeCell ref="B198:B199"/>
    <mergeCell ref="C198:C199"/>
    <mergeCell ref="D198:D199"/>
    <mergeCell ref="E198:E199"/>
    <mergeCell ref="E200:E201"/>
    <mergeCell ref="B206:B207"/>
    <mergeCell ref="C206:C207"/>
    <mergeCell ref="D206:D207"/>
    <mergeCell ref="E206:E207"/>
    <mergeCell ref="C208:C209"/>
    <mergeCell ref="D208:D209"/>
    <mergeCell ref="E208:E209"/>
    <mergeCell ref="B208:B209"/>
    <mergeCell ref="E184:E185"/>
    <mergeCell ref="C186:C187"/>
    <mergeCell ref="D186:D187"/>
    <mergeCell ref="E186:E187"/>
    <mergeCell ref="D190:D191"/>
    <mergeCell ref="E190:E191"/>
    <mergeCell ref="B186:B187"/>
    <mergeCell ref="B188:B189"/>
    <mergeCell ref="C188:C189"/>
    <mergeCell ref="D188:D189"/>
    <mergeCell ref="E188:E189"/>
    <mergeCell ref="B190:B191"/>
    <mergeCell ref="C190:C191"/>
    <mergeCell ref="B192:B193"/>
    <mergeCell ref="C192:C193"/>
    <mergeCell ref="D192:D193"/>
    <mergeCell ref="F210:F211"/>
    <mergeCell ref="A212:D212"/>
    <mergeCell ref="D204:D205"/>
    <mergeCell ref="E204:E205"/>
    <mergeCell ref="B200:B201"/>
    <mergeCell ref="B202:B203"/>
    <mergeCell ref="C202:C203"/>
    <mergeCell ref="D202:D203"/>
    <mergeCell ref="E202:E203"/>
    <mergeCell ref="B204:B205"/>
    <mergeCell ref="C204:C205"/>
    <mergeCell ref="B176:B177"/>
    <mergeCell ref="C176:C177"/>
    <mergeCell ref="D176:D177"/>
    <mergeCell ref="E176:E177"/>
    <mergeCell ref="C178:C179"/>
    <mergeCell ref="D178:D179"/>
    <mergeCell ref="E178:E179"/>
    <mergeCell ref="B178:B179"/>
    <mergeCell ref="B180:B181"/>
    <mergeCell ref="C180:C181"/>
    <mergeCell ref="D180:D181"/>
    <mergeCell ref="E180:E181"/>
    <mergeCell ref="B182:B183"/>
    <mergeCell ref="C182:C183"/>
    <mergeCell ref="B184:B185"/>
    <mergeCell ref="C184:C185"/>
    <mergeCell ref="D184:D185"/>
    <mergeCell ref="D182:D183"/>
    <mergeCell ref="E182:E183"/>
    <mergeCell ref="C200:C201"/>
    <mergeCell ref="D200:D201"/>
    <mergeCell ref="E192:E193"/>
    <mergeCell ref="A194:E194"/>
    <mergeCell ref="A195:D195"/>
    <mergeCell ref="B196:B197"/>
    <mergeCell ref="E196:E197"/>
    <mergeCell ref="D219:D220"/>
    <mergeCell ref="E219:E220"/>
    <mergeCell ref="B229:B230"/>
    <mergeCell ref="C229:C230"/>
    <mergeCell ref="D229:D230"/>
    <mergeCell ref="E229:E230"/>
    <mergeCell ref="C231:C232"/>
    <mergeCell ref="D231:D232"/>
    <mergeCell ref="E231:E232"/>
    <mergeCell ref="B231:B232"/>
    <mergeCell ref="D225:D226"/>
    <mergeCell ref="E225:E226"/>
    <mergeCell ref="B227:B228"/>
    <mergeCell ref="C227:C228"/>
    <mergeCell ref="B210:B211"/>
    <mergeCell ref="C210:C211"/>
    <mergeCell ref="D210:D211"/>
    <mergeCell ref="E210:E211"/>
    <mergeCell ref="B233:B234"/>
    <mergeCell ref="C233:C234"/>
    <mergeCell ref="D233:D234"/>
    <mergeCell ref="E233:E234"/>
    <mergeCell ref="B235:B236"/>
    <mergeCell ref="C235:C236"/>
    <mergeCell ref="E239:E240"/>
    <mergeCell ref="F239:F240"/>
    <mergeCell ref="F245:F246"/>
    <mergeCell ref="B237:B238"/>
    <mergeCell ref="C237:C238"/>
    <mergeCell ref="D237:D238"/>
    <mergeCell ref="E237:E238"/>
    <mergeCell ref="B239:B240"/>
    <mergeCell ref="C239:C240"/>
    <mergeCell ref="D239:D240"/>
    <mergeCell ref="B241:B242"/>
    <mergeCell ref="C241:C242"/>
    <mergeCell ref="D241:D242"/>
    <mergeCell ref="E241:E242"/>
    <mergeCell ref="C243:C244"/>
    <mergeCell ref="D243:D244"/>
    <mergeCell ref="E243:E244"/>
    <mergeCell ref="B243:B244"/>
    <mergeCell ref="B245:B246"/>
    <mergeCell ref="C245:C246"/>
    <mergeCell ref="D245:D246"/>
    <mergeCell ref="E245:E246"/>
    <mergeCell ref="D235:D236"/>
    <mergeCell ref="E235:E236"/>
    <mergeCell ref="B247:B248"/>
    <mergeCell ref="C247:C248"/>
    <mergeCell ref="C251:C252"/>
    <mergeCell ref="D251:D252"/>
    <mergeCell ref="D247:D248"/>
    <mergeCell ref="E247:E248"/>
    <mergeCell ref="B249:B250"/>
    <mergeCell ref="C249:C250"/>
    <mergeCell ref="D249:D250"/>
    <mergeCell ref="E249:E250"/>
    <mergeCell ref="E251:E252"/>
    <mergeCell ref="D255:D256"/>
    <mergeCell ref="E255:E256"/>
    <mergeCell ref="F261:F262"/>
    <mergeCell ref="F263:F264"/>
    <mergeCell ref="B251:B252"/>
    <mergeCell ref="B253:B254"/>
    <mergeCell ref="C253:C254"/>
    <mergeCell ref="D253:D254"/>
    <mergeCell ref="E253:E254"/>
    <mergeCell ref="B255:B256"/>
    <mergeCell ref="C255:C256"/>
    <mergeCell ref="B257:B258"/>
    <mergeCell ref="C257:C258"/>
    <mergeCell ref="D257:D258"/>
    <mergeCell ref="E257:E258"/>
    <mergeCell ref="C259:C260"/>
    <mergeCell ref="D259:D260"/>
    <mergeCell ref="E259:E260"/>
    <mergeCell ref="B259:B260"/>
    <mergeCell ref="B261:B262"/>
    <mergeCell ref="C261:C262"/>
    <mergeCell ref="D261:D262"/>
    <mergeCell ref="E261:E262"/>
    <mergeCell ref="B263:B264"/>
    <mergeCell ref="C263:C264"/>
    <mergeCell ref="C267:C268"/>
    <mergeCell ref="D267:D268"/>
    <mergeCell ref="D263:D264"/>
    <mergeCell ref="E263:E264"/>
    <mergeCell ref="B265:B266"/>
    <mergeCell ref="C265:C266"/>
    <mergeCell ref="D265:D266"/>
    <mergeCell ref="E265:E266"/>
    <mergeCell ref="E267:E268"/>
    <mergeCell ref="D271:D272"/>
    <mergeCell ref="E271:E272"/>
    <mergeCell ref="F275:F276"/>
    <mergeCell ref="B267:B268"/>
    <mergeCell ref="B269:B270"/>
    <mergeCell ref="C269:C270"/>
    <mergeCell ref="D269:D270"/>
    <mergeCell ref="E269:E270"/>
    <mergeCell ref="B271:B272"/>
    <mergeCell ref="C271:C272"/>
    <mergeCell ref="B273:B274"/>
    <mergeCell ref="C273:C274"/>
    <mergeCell ref="D273:D274"/>
    <mergeCell ref="E273:E274"/>
    <mergeCell ref="C275:C276"/>
    <mergeCell ref="D275:D276"/>
    <mergeCell ref="E275:E276"/>
    <mergeCell ref="B275:B276"/>
    <mergeCell ref="B277:B278"/>
    <mergeCell ref="C277:C278"/>
    <mergeCell ref="D277:D278"/>
    <mergeCell ref="E277:E278"/>
    <mergeCell ref="B279:B280"/>
    <mergeCell ref="C279:C280"/>
    <mergeCell ref="B213:B214"/>
    <mergeCell ref="C213:C214"/>
    <mergeCell ref="D213:D214"/>
    <mergeCell ref="E213:E214"/>
    <mergeCell ref="C215:C216"/>
    <mergeCell ref="D215:D216"/>
    <mergeCell ref="E215:E216"/>
    <mergeCell ref="B215:B216"/>
    <mergeCell ref="B217:B218"/>
    <mergeCell ref="C217:C218"/>
    <mergeCell ref="D217:D218"/>
    <mergeCell ref="E217:E218"/>
    <mergeCell ref="B219:B220"/>
    <mergeCell ref="C219:C220"/>
    <mergeCell ref="B221:B222"/>
    <mergeCell ref="C221:C222"/>
    <mergeCell ref="D221:D222"/>
    <mergeCell ref="E221:E222"/>
    <mergeCell ref="C223:C224"/>
    <mergeCell ref="D223:D224"/>
    <mergeCell ref="E223:E224"/>
    <mergeCell ref="D227:D228"/>
    <mergeCell ref="E227:E228"/>
    <mergeCell ref="B223:B224"/>
    <mergeCell ref="B225:B226"/>
    <mergeCell ref="C225:C226"/>
    <mergeCell ref="B283:B284"/>
    <mergeCell ref="B285:B286"/>
    <mergeCell ref="C285:C286"/>
    <mergeCell ref="D285:D286"/>
    <mergeCell ref="E285:E286"/>
    <mergeCell ref="C283:C284"/>
    <mergeCell ref="D283:D284"/>
    <mergeCell ref="D279:D280"/>
    <mergeCell ref="E279:E280"/>
    <mergeCell ref="B281:B282"/>
    <mergeCell ref="C281:C282"/>
    <mergeCell ref="D281:D282"/>
    <mergeCell ref="E281:E282"/>
    <mergeCell ref="E283:E284"/>
    <mergeCell ref="A287:E287"/>
    <mergeCell ref="A288:D288"/>
    <mergeCell ref="A289:D289"/>
    <mergeCell ref="B290:B291"/>
    <mergeCell ref="C290:C291"/>
    <mergeCell ref="D290:D291"/>
    <mergeCell ref="E290:E291"/>
    <mergeCell ref="B292:B293"/>
    <mergeCell ref="C292:C293"/>
    <mergeCell ref="D292:D293"/>
    <mergeCell ref="E292:E293"/>
    <mergeCell ref="C294:C295"/>
    <mergeCell ref="D294:D295"/>
    <mergeCell ref="E294:E295"/>
    <mergeCell ref="E298:E299"/>
    <mergeCell ref="F298:F299"/>
    <mergeCell ref="E300:E301"/>
    <mergeCell ref="F300:F301"/>
    <mergeCell ref="E302:E303"/>
    <mergeCell ref="F302:F303"/>
    <mergeCell ref="B294:B295"/>
    <mergeCell ref="B296:B297"/>
    <mergeCell ref="C296:C297"/>
    <mergeCell ref="D296:D297"/>
    <mergeCell ref="E296:E297"/>
    <mergeCell ref="F296:F297"/>
    <mergeCell ref="B298:B299"/>
    <mergeCell ref="C298:C299"/>
    <mergeCell ref="D298:D299"/>
    <mergeCell ref="B300:B301"/>
    <mergeCell ref="C300:C301"/>
    <mergeCell ref="D300:D301"/>
    <mergeCell ref="C302:C303"/>
    <mergeCell ref="D302:D303"/>
    <mergeCell ref="D306:D307"/>
    <mergeCell ref="E306:E307"/>
    <mergeCell ref="B302:B303"/>
    <mergeCell ref="B304:B305"/>
    <mergeCell ref="C304:C305"/>
    <mergeCell ref="D304:D305"/>
    <mergeCell ref="E304:E305"/>
    <mergeCell ref="B306:B307"/>
    <mergeCell ref="C306:C307"/>
    <mergeCell ref="B308:B309"/>
    <mergeCell ref="C308:C309"/>
    <mergeCell ref="D308:D309"/>
    <mergeCell ref="E308:E309"/>
    <mergeCell ref="C310:C311"/>
    <mergeCell ref="D310:D311"/>
    <mergeCell ref="E310:E311"/>
    <mergeCell ref="D314:D315"/>
    <mergeCell ref="E314:E315"/>
    <mergeCell ref="F314:F315"/>
    <mergeCell ref="B310:B311"/>
    <mergeCell ref="B312:B313"/>
    <mergeCell ref="C312:C313"/>
    <mergeCell ref="D312:D313"/>
    <mergeCell ref="E312:E313"/>
    <mergeCell ref="B314:B315"/>
    <mergeCell ref="C314:C315"/>
    <mergeCell ref="D318:D319"/>
    <mergeCell ref="E318:E319"/>
    <mergeCell ref="B316:B317"/>
    <mergeCell ref="C316:C317"/>
    <mergeCell ref="D316:D317"/>
    <mergeCell ref="E316:E317"/>
    <mergeCell ref="F316:F317"/>
    <mergeCell ref="B318:B319"/>
    <mergeCell ref="C318:C319"/>
    <mergeCell ref="D336:D337"/>
    <mergeCell ref="E336:E337"/>
    <mergeCell ref="C338:C339"/>
    <mergeCell ref="D338:D339"/>
    <mergeCell ref="E338:E339"/>
    <mergeCell ref="B338:B339"/>
    <mergeCell ref="B340:B341"/>
    <mergeCell ref="C340:C341"/>
    <mergeCell ref="D340:D341"/>
    <mergeCell ref="E340:E341"/>
    <mergeCell ref="B342:B343"/>
    <mergeCell ref="C342:C343"/>
    <mergeCell ref="B320:B321"/>
    <mergeCell ref="C320:C321"/>
    <mergeCell ref="D320:D321"/>
    <mergeCell ref="E320:E321"/>
    <mergeCell ref="C322:C323"/>
    <mergeCell ref="D322:D323"/>
    <mergeCell ref="E322:E323"/>
    <mergeCell ref="D326:D327"/>
    <mergeCell ref="E326:E327"/>
    <mergeCell ref="B322:B323"/>
    <mergeCell ref="B324:B325"/>
    <mergeCell ref="C324:C325"/>
    <mergeCell ref="D324:D325"/>
    <mergeCell ref="E324:E325"/>
    <mergeCell ref="B326:B327"/>
    <mergeCell ref="C326:C327"/>
    <mergeCell ref="B328:B329"/>
    <mergeCell ref="C328:C329"/>
    <mergeCell ref="D328:D329"/>
    <mergeCell ref="E328:E329"/>
    <mergeCell ref="E362:E363"/>
    <mergeCell ref="D366:D367"/>
    <mergeCell ref="E366:E367"/>
    <mergeCell ref="B362:B363"/>
    <mergeCell ref="B364:B365"/>
    <mergeCell ref="C364:C365"/>
    <mergeCell ref="D364:D365"/>
    <mergeCell ref="E364:E365"/>
    <mergeCell ref="B366:B367"/>
    <mergeCell ref="C366:C367"/>
    <mergeCell ref="D358:D359"/>
    <mergeCell ref="E358:E359"/>
    <mergeCell ref="C330:C331"/>
    <mergeCell ref="D330:D331"/>
    <mergeCell ref="E330:E331"/>
    <mergeCell ref="D334:D335"/>
    <mergeCell ref="E334:E335"/>
    <mergeCell ref="B330:B331"/>
    <mergeCell ref="B332:B333"/>
    <mergeCell ref="C332:C333"/>
    <mergeCell ref="D332:D333"/>
    <mergeCell ref="E332:E333"/>
    <mergeCell ref="B334:B335"/>
    <mergeCell ref="C334:C335"/>
    <mergeCell ref="D342:D343"/>
    <mergeCell ref="E342:E343"/>
    <mergeCell ref="B344:B345"/>
    <mergeCell ref="C344:C345"/>
    <mergeCell ref="D344:D345"/>
    <mergeCell ref="E344:E345"/>
    <mergeCell ref="B336:B337"/>
    <mergeCell ref="C336:C337"/>
    <mergeCell ref="B382:B383"/>
    <mergeCell ref="C382:C383"/>
    <mergeCell ref="A346:E346"/>
    <mergeCell ref="A347:D347"/>
    <mergeCell ref="B348:B349"/>
    <mergeCell ref="C348:C349"/>
    <mergeCell ref="D348:D349"/>
    <mergeCell ref="E348:E349"/>
    <mergeCell ref="B350:B351"/>
    <mergeCell ref="E350:E351"/>
    <mergeCell ref="C354:C355"/>
    <mergeCell ref="D354:D355"/>
    <mergeCell ref="C350:C351"/>
    <mergeCell ref="D350:D351"/>
    <mergeCell ref="B352:B353"/>
    <mergeCell ref="C352:C353"/>
    <mergeCell ref="D352:D353"/>
    <mergeCell ref="E352:E353"/>
    <mergeCell ref="E354:E355"/>
    <mergeCell ref="B354:B355"/>
    <mergeCell ref="B356:B357"/>
    <mergeCell ref="C356:C357"/>
    <mergeCell ref="D356:D357"/>
    <mergeCell ref="E356:E357"/>
    <mergeCell ref="B358:B359"/>
    <mergeCell ref="C358:C359"/>
    <mergeCell ref="B360:B361"/>
    <mergeCell ref="C360:C361"/>
    <mergeCell ref="D360:D361"/>
    <mergeCell ref="E360:E361"/>
    <mergeCell ref="C362:C363"/>
    <mergeCell ref="D362:D363"/>
    <mergeCell ref="D376:D377"/>
    <mergeCell ref="E376:E377"/>
    <mergeCell ref="D374:D375"/>
    <mergeCell ref="E374:E375"/>
    <mergeCell ref="C392:C393"/>
    <mergeCell ref="D392:D393"/>
    <mergeCell ref="C388:C389"/>
    <mergeCell ref="D388:D389"/>
    <mergeCell ref="B390:B391"/>
    <mergeCell ref="C390:C391"/>
    <mergeCell ref="D390:D391"/>
    <mergeCell ref="E390:E391"/>
    <mergeCell ref="E392:E393"/>
    <mergeCell ref="D396:D397"/>
    <mergeCell ref="E396:E397"/>
    <mergeCell ref="B392:B393"/>
    <mergeCell ref="B394:B395"/>
    <mergeCell ref="C394:C395"/>
    <mergeCell ref="D394:D395"/>
    <mergeCell ref="E394:E395"/>
    <mergeCell ref="B396:B397"/>
    <mergeCell ref="C396:C397"/>
    <mergeCell ref="C378:C379"/>
    <mergeCell ref="D378:D379"/>
    <mergeCell ref="E378:E379"/>
    <mergeCell ref="D382:D383"/>
    <mergeCell ref="E382:E383"/>
    <mergeCell ref="B378:B379"/>
    <mergeCell ref="B380:B381"/>
    <mergeCell ref="C380:C381"/>
    <mergeCell ref="D380:D381"/>
    <mergeCell ref="E380:E381"/>
    <mergeCell ref="C571:C572"/>
    <mergeCell ref="B552:B553"/>
    <mergeCell ref="C552:C553"/>
    <mergeCell ref="D552:D553"/>
    <mergeCell ref="E552:E553"/>
    <mergeCell ref="C554:C555"/>
    <mergeCell ref="D554:D555"/>
    <mergeCell ref="E554:E555"/>
    <mergeCell ref="B554:B555"/>
    <mergeCell ref="B556:B557"/>
    <mergeCell ref="C556:C557"/>
    <mergeCell ref="D556:D557"/>
    <mergeCell ref="E556:E557"/>
    <mergeCell ref="C558:C559"/>
    <mergeCell ref="A560:D560"/>
    <mergeCell ref="B558:B559"/>
    <mergeCell ref="B368:B369"/>
    <mergeCell ref="C368:C369"/>
    <mergeCell ref="D368:D369"/>
    <mergeCell ref="E368:E369"/>
    <mergeCell ref="C370:C371"/>
    <mergeCell ref="D370:D371"/>
    <mergeCell ref="E370:E371"/>
    <mergeCell ref="B370:B371"/>
    <mergeCell ref="B372:B373"/>
    <mergeCell ref="C372:C373"/>
    <mergeCell ref="D372:D373"/>
    <mergeCell ref="E372:E373"/>
    <mergeCell ref="B374:B375"/>
    <mergeCell ref="C374:C375"/>
    <mergeCell ref="B376:B377"/>
    <mergeCell ref="C376:C377"/>
    <mergeCell ref="F561:F564"/>
    <mergeCell ref="B563:B564"/>
    <mergeCell ref="E563:E564"/>
    <mergeCell ref="C567:C568"/>
    <mergeCell ref="D567:D568"/>
    <mergeCell ref="C563:C564"/>
    <mergeCell ref="D563:D564"/>
    <mergeCell ref="B565:B566"/>
    <mergeCell ref="C565:C566"/>
    <mergeCell ref="D565:D566"/>
    <mergeCell ref="E565:E566"/>
    <mergeCell ref="E567:E568"/>
    <mergeCell ref="D571:D572"/>
    <mergeCell ref="E571:E572"/>
    <mergeCell ref="D592:D593"/>
    <mergeCell ref="E592:E593"/>
    <mergeCell ref="A384:E384"/>
    <mergeCell ref="A385:D385"/>
    <mergeCell ref="B386:B387"/>
    <mergeCell ref="C386:C387"/>
    <mergeCell ref="D386:D387"/>
    <mergeCell ref="E386:E387"/>
    <mergeCell ref="B388:B389"/>
    <mergeCell ref="E388:E389"/>
    <mergeCell ref="D404:D405"/>
    <mergeCell ref="E404:E405"/>
    <mergeCell ref="B567:B568"/>
    <mergeCell ref="B569:B570"/>
    <mergeCell ref="C569:C570"/>
    <mergeCell ref="D569:D570"/>
    <mergeCell ref="E569:E570"/>
    <mergeCell ref="B571:B572"/>
  </mergeCells>
  <dataValidations count="1">
    <dataValidation type="list" allowBlank="1" showErrorMessage="1" sqref="B985 B1012" xr:uid="{00000000-0002-0000-0100-000000000000}">
      <formula1>"0,1%,2%,3%,4%,5%,6%,7%,8%"</formula1>
    </dataValidation>
  </dataValidations>
  <printOptions horizontalCentered="1"/>
  <pageMargins left="0.25" right="0.25" top="0.75" bottom="0.75" header="0" footer="0"/>
  <pageSetup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 6.0 (FHR and other PCA</vt:lpstr>
      <vt:lpstr>JJ AdditionConversion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Виктор Шевяков</dc:creator>
  <cp:lastModifiedBy>Виктор Шевяков</cp:lastModifiedBy>
  <dcterms:created xsi:type="dcterms:W3CDTF">2025-10-01T01:25:58Z</dcterms:created>
  <dcterms:modified xsi:type="dcterms:W3CDTF">2026-06-07T08:15:24Z</dcterms:modified>
</cp:coreProperties>
</file>